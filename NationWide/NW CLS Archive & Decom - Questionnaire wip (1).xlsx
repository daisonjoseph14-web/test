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24226"/>
  <mc:AlternateContent xmlns:mc="http://schemas.openxmlformats.org/markup-compatibility/2006">
    <mc:Choice Requires="x15">
      <x15ac:absPath xmlns:x15ac="http://schemas.microsoft.com/office/spreadsheetml/2010/11/ac" url="https://onyourside.sharepoint.com/sites/CG-CLSArchiveDecom/Shared Documents/Repository/02 Working Folder/"/>
    </mc:Choice>
  </mc:AlternateContent>
  <xr:revisionPtr revIDLastSave="7793" documentId="8_{40BFCFA0-A062-4D64-A3ED-B3C93E3EAF51}" xr6:coauthVersionLast="47" xr6:coauthVersionMax="47" xr10:uidLastSave="{E9BA4F87-73AE-492B-84DD-880571127CEF}"/>
  <bookViews>
    <workbookView xWindow="-120" yWindow="-120" windowWidth="29040" windowHeight="15720" firstSheet="2" activeTab="2" xr2:uid="{00000000-000D-0000-FFFF-FFFF00000000}"/>
  </bookViews>
  <sheets>
    <sheet name="Questionnaire Sample" sheetId="15" state="hidden" r:id="rId1"/>
    <sheet name="ReadMe" sheetId="9" r:id="rId2"/>
    <sheet name="Questionnaire" sheetId="13" r:id="rId3"/>
    <sheet name="Master 2024 - Refer this" sheetId="19" state="hidden" r:id="rId4"/>
    <sheet name="Master from RFP phase - Old" sheetId="17" state="hidden" r:id="rId5"/>
    <sheet name="Reference - to hide" sheetId="4" state="hidden" r:id="rId6"/>
    <sheet name="Sheet 1" sheetId="23" r:id="rId7"/>
  </sheets>
  <definedNames>
    <definedName name="_xlnm._FilterDatabase" localSheetId="3" hidden="1">'Master 2024 - Refer this'!$A$1:$BQ$1</definedName>
    <definedName name="_xlnm._FilterDatabase" localSheetId="0" hidden="1">'Questionnaire Sample'!$A$2:$BQ$85</definedName>
    <definedName name="_xlnm._FilterDatabase" localSheetId="2" hidden="1">Questionnaire!$A$1:$CF$81</definedName>
  </definedNames>
  <calcPr calcId="191028"/>
  <pivotCaches>
    <pivotCache cacheId="334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80" i="13" l="1" a="1"/>
  <c r="CC80" i="13" s="1"/>
  <c r="CC79" i="13" a="1"/>
  <c r="CC79" i="13" s="1"/>
  <c r="CC78" i="13" a="1"/>
  <c r="CC78" i="13" s="1"/>
  <c r="CC77" i="13" a="1"/>
  <c r="CC77" i="13" s="1"/>
  <c r="CC76" i="13" a="1"/>
  <c r="CC76" i="13" s="1"/>
  <c r="CC75" i="13" a="1"/>
  <c r="CC75" i="13" s="1"/>
  <c r="CC74" i="13" a="1"/>
  <c r="CC74" i="13" s="1"/>
  <c r="CC73" i="13" a="1"/>
  <c r="CC73" i="13" s="1"/>
  <c r="CC72" i="13" a="1"/>
  <c r="CC72" i="13" s="1"/>
  <c r="CC71" i="13" a="1"/>
  <c r="CC71" i="13" s="1"/>
  <c r="CC70" i="13" a="1"/>
  <c r="CC70" i="13" s="1"/>
  <c r="CC69" i="13" a="1"/>
  <c r="CC69" i="13" s="1"/>
  <c r="CC68" i="13" a="1"/>
  <c r="CC68" i="13" s="1"/>
  <c r="CC67" i="13" a="1"/>
  <c r="CC67" i="13" s="1"/>
  <c r="CC66" i="13" a="1"/>
  <c r="CC66" i="13" s="1"/>
  <c r="CC65" i="13" a="1"/>
  <c r="CC65" i="13" s="1"/>
  <c r="CC64" i="13" a="1"/>
  <c r="CC64" i="13" s="1"/>
  <c r="CC63" i="13" a="1"/>
  <c r="CC63" i="13" s="1"/>
  <c r="CC62" i="13" a="1"/>
  <c r="CC62" i="13" s="1"/>
  <c r="CC61" i="13" a="1"/>
  <c r="CC61" i="13" s="1"/>
  <c r="CC60" i="13" a="1"/>
  <c r="CC60" i="13" s="1"/>
  <c r="CC59" i="13" a="1"/>
  <c r="CC59" i="13" s="1"/>
  <c r="CC58" i="13" a="1"/>
  <c r="CC58" i="13" s="1"/>
  <c r="CC57" i="13" a="1"/>
  <c r="CC57" i="13" s="1"/>
  <c r="CC56" i="13" a="1"/>
  <c r="CC56" i="13" s="1"/>
  <c r="CC55" i="13" a="1"/>
  <c r="CC55" i="13" s="1"/>
  <c r="CC54" i="13" a="1"/>
  <c r="CC54" i="13" s="1"/>
  <c r="CC53" i="13" a="1"/>
  <c r="CC53" i="13" s="1"/>
  <c r="CC52" i="13" a="1"/>
  <c r="CC52" i="13" s="1"/>
  <c r="CC51" i="13" a="1"/>
  <c r="CC51" i="13" s="1"/>
  <c r="CC50" i="13" a="1"/>
  <c r="CC50" i="13" s="1"/>
  <c r="CC49" i="13" a="1"/>
  <c r="CC49" i="13" s="1"/>
  <c r="CC48" i="13" a="1"/>
  <c r="CC48" i="13" s="1"/>
  <c r="CC47" i="13" a="1"/>
  <c r="CC47" i="13" s="1"/>
  <c r="CC46" i="13" a="1"/>
  <c r="CC46" i="13" s="1"/>
  <c r="CC45" i="13" a="1"/>
  <c r="CC45" i="13" s="1"/>
  <c r="CC44" i="13" a="1"/>
  <c r="CC44" i="13" s="1"/>
  <c r="CC43" i="13" a="1"/>
  <c r="CC43" i="13" s="1"/>
  <c r="CC42" i="13" a="1"/>
  <c r="CC42" i="13" s="1"/>
  <c r="CC41" i="13" a="1"/>
  <c r="CC41" i="13" s="1"/>
  <c r="CC40" i="13" a="1"/>
  <c r="CC40" i="13" s="1"/>
  <c r="CC39" i="13" a="1"/>
  <c r="CC39" i="13" s="1"/>
  <c r="CC38" i="13" a="1"/>
  <c r="CC38" i="13" s="1"/>
  <c r="CC37" i="13" a="1"/>
  <c r="CC37" i="13" s="1"/>
  <c r="CC36" i="13" a="1"/>
  <c r="CC36" i="13" s="1"/>
  <c r="CC35" i="13" a="1"/>
  <c r="CC35" i="13" s="1"/>
  <c r="CC34" i="13" a="1"/>
  <c r="CC34" i="13" s="1"/>
  <c r="CC33" i="13" a="1"/>
  <c r="CC33" i="13" s="1"/>
  <c r="CC32" i="13" a="1"/>
  <c r="CC32" i="13" s="1"/>
  <c r="CC31" i="13" a="1"/>
  <c r="CC31" i="13" s="1"/>
  <c r="CC30" i="13" a="1"/>
  <c r="CC30" i="13" s="1"/>
  <c r="CC29" i="13" a="1"/>
  <c r="CC29" i="13" s="1"/>
  <c r="CC28" i="13" a="1"/>
  <c r="CC28" i="13" s="1"/>
  <c r="CC27" i="13" a="1"/>
  <c r="CC27" i="13" s="1"/>
  <c r="CC26" i="13" a="1"/>
  <c r="CC26" i="13" s="1"/>
  <c r="CC25" i="13" a="1"/>
  <c r="CC25" i="13" s="1"/>
  <c r="CC24" i="13" a="1"/>
  <c r="CC24" i="13" s="1"/>
  <c r="CC23" i="13" a="1"/>
  <c r="CC23" i="13" s="1"/>
  <c r="CC22" i="13" a="1"/>
  <c r="CC22" i="13" s="1"/>
  <c r="CC21" i="13" a="1"/>
  <c r="CC21" i="13" s="1"/>
  <c r="CC20" i="13" a="1"/>
  <c r="CC20" i="13" s="1"/>
  <c r="CC19" i="13" a="1"/>
  <c r="CC19" i="13" s="1"/>
  <c r="CC18" i="13" a="1"/>
  <c r="CC18" i="13" s="1"/>
  <c r="CC17" i="13" a="1"/>
  <c r="CC17" i="13" s="1"/>
  <c r="CC16" i="13" a="1"/>
  <c r="CC16" i="13" s="1"/>
  <c r="CC15" i="13" a="1"/>
  <c r="CC15" i="13" s="1"/>
  <c r="CC14" i="13" a="1"/>
  <c r="CC14" i="13" s="1"/>
  <c r="CC13" i="13" a="1"/>
  <c r="CC13" i="13" s="1"/>
  <c r="CC12" i="13" a="1"/>
  <c r="CC12" i="13" s="1"/>
  <c r="CC11" i="13" a="1"/>
  <c r="CC11" i="13" s="1"/>
  <c r="CC10" i="13" a="1"/>
  <c r="CC10" i="13" s="1"/>
  <c r="CC9" i="13" a="1"/>
  <c r="CC9" i="13" s="1"/>
  <c r="CC8" i="13" a="1"/>
  <c r="CC8" i="13" s="1"/>
  <c r="CC7" i="13" a="1"/>
  <c r="CC7" i="13" s="1"/>
  <c r="CB80" i="13" a="1"/>
  <c r="CB80" i="13" s="1"/>
  <c r="CB79" i="13" a="1"/>
  <c r="CB79" i="13" s="1"/>
  <c r="CB78" i="13" a="1"/>
  <c r="CB78" i="13" s="1"/>
  <c r="CB77" i="13" a="1"/>
  <c r="CB77" i="13" s="1"/>
  <c r="CB76" i="13" a="1"/>
  <c r="CB76" i="13" s="1"/>
  <c r="CB75" i="13" a="1"/>
  <c r="CB75" i="13" s="1"/>
  <c r="CB74" i="13" a="1"/>
  <c r="CB74" i="13" s="1"/>
  <c r="CB73" i="13" a="1"/>
  <c r="CB73" i="13" s="1"/>
  <c r="CB72" i="13" a="1"/>
  <c r="CB72" i="13" s="1"/>
  <c r="CB71" i="13" a="1"/>
  <c r="CB71" i="13" s="1"/>
  <c r="CB70" i="13" a="1"/>
  <c r="CB70" i="13" s="1"/>
  <c r="CB69" i="13" a="1"/>
  <c r="CB69" i="13" s="1"/>
  <c r="CB68" i="13" a="1"/>
  <c r="CB68" i="13" s="1"/>
  <c r="CB67" i="13" a="1"/>
  <c r="CB67" i="13" s="1"/>
  <c r="CB66" i="13" a="1"/>
  <c r="CB66" i="13" s="1"/>
  <c r="CB65" i="13" a="1"/>
  <c r="CB65" i="13" s="1"/>
  <c r="CB64" i="13" a="1"/>
  <c r="CB64" i="13" s="1"/>
  <c r="CB63" i="13" a="1"/>
  <c r="CB63" i="13" s="1"/>
  <c r="CB62" i="13" a="1"/>
  <c r="CB62" i="13" s="1"/>
  <c r="CB61" i="13" a="1"/>
  <c r="CB61" i="13" s="1"/>
  <c r="CB60" i="13" a="1"/>
  <c r="CB60" i="13" s="1"/>
  <c r="CB59" i="13" a="1"/>
  <c r="CB59" i="13" s="1"/>
  <c r="CB58" i="13" a="1"/>
  <c r="CB58" i="13" s="1"/>
  <c r="CB57" i="13" a="1"/>
  <c r="CB57" i="13" s="1"/>
  <c r="CB56" i="13" a="1"/>
  <c r="CB56" i="13" s="1"/>
  <c r="CB55" i="13" a="1"/>
  <c r="CB55" i="13" s="1"/>
  <c r="CB54" i="13" a="1"/>
  <c r="CB54" i="13" s="1"/>
  <c r="CB53" i="13" a="1"/>
  <c r="CB53" i="13" s="1"/>
  <c r="CB52" i="13" a="1"/>
  <c r="CB52" i="13" s="1"/>
  <c r="CB51" i="13" a="1"/>
  <c r="CB51" i="13" s="1"/>
  <c r="CB50" i="13" a="1"/>
  <c r="CB50" i="13" s="1"/>
  <c r="CB49" i="13" a="1"/>
  <c r="CB49" i="13" s="1"/>
  <c r="CB48" i="13" a="1"/>
  <c r="CB48" i="13" s="1"/>
  <c r="CB47" i="13" a="1"/>
  <c r="CB47" i="13" s="1"/>
  <c r="CB46" i="13" a="1"/>
  <c r="CB46" i="13" s="1"/>
  <c r="CB45" i="13" a="1"/>
  <c r="CB45" i="13" s="1"/>
  <c r="CB44" i="13" a="1"/>
  <c r="CB44" i="13" s="1"/>
  <c r="CB43" i="13" a="1"/>
  <c r="CB43" i="13" s="1"/>
  <c r="CB42" i="13" a="1"/>
  <c r="CB42" i="13" s="1"/>
  <c r="CB41" i="13" a="1"/>
  <c r="CB41" i="13" s="1"/>
  <c r="CB40" i="13" a="1"/>
  <c r="CB40" i="13" s="1"/>
  <c r="CB39" i="13" a="1"/>
  <c r="CB39" i="13" s="1"/>
  <c r="CB38" i="13" a="1"/>
  <c r="CB38" i="13" s="1"/>
  <c r="CB37" i="13" a="1"/>
  <c r="CB37" i="13" s="1"/>
  <c r="CB36" i="13" a="1"/>
  <c r="CB36" i="13" s="1"/>
  <c r="CB35" i="13" a="1"/>
  <c r="CB35" i="13" s="1"/>
  <c r="CB34" i="13" a="1"/>
  <c r="CB34" i="13" s="1"/>
  <c r="CB33" i="13" a="1"/>
  <c r="CB33" i="13" s="1"/>
  <c r="CB32" i="13" a="1"/>
  <c r="CB32" i="13" s="1"/>
  <c r="CB31" i="13" a="1"/>
  <c r="CB31" i="13" s="1"/>
  <c r="CB30" i="13" a="1"/>
  <c r="CB30" i="13" s="1"/>
  <c r="CB29" i="13" a="1"/>
  <c r="CB29" i="13" s="1"/>
  <c r="CB28" i="13" a="1"/>
  <c r="CB28" i="13" s="1"/>
  <c r="CB27" i="13" a="1"/>
  <c r="CB27" i="13" s="1"/>
  <c r="CB26" i="13" a="1"/>
  <c r="CB26" i="13" s="1"/>
  <c r="CB25" i="13" a="1"/>
  <c r="CB25" i="13" s="1"/>
  <c r="CB24" i="13" a="1"/>
  <c r="CB24" i="13" s="1"/>
  <c r="CB23" i="13" a="1"/>
  <c r="CB23" i="13" s="1"/>
  <c r="CB22" i="13" a="1"/>
  <c r="CB22" i="13" s="1"/>
  <c r="CB21" i="13" a="1"/>
  <c r="CB21" i="13" s="1"/>
  <c r="CB20" i="13" a="1"/>
  <c r="CB20" i="13" s="1"/>
  <c r="CB19" i="13" a="1"/>
  <c r="CB19" i="13" s="1"/>
  <c r="CB18" i="13" a="1"/>
  <c r="CB18" i="13" s="1"/>
  <c r="CB17" i="13" a="1"/>
  <c r="CB17" i="13" s="1"/>
  <c r="CB16" i="13" a="1"/>
  <c r="CB16" i="13" s="1"/>
  <c r="CB15" i="13" a="1"/>
  <c r="CB15" i="13" s="1"/>
  <c r="CB14" i="13" a="1"/>
  <c r="CB14" i="13" s="1"/>
  <c r="CB13" i="13" a="1"/>
  <c r="CB13" i="13" s="1"/>
  <c r="CB12" i="13" a="1"/>
  <c r="CB12" i="13" s="1"/>
  <c r="CB11" i="13" a="1"/>
  <c r="CB11" i="13" s="1"/>
  <c r="CB10" i="13" a="1"/>
  <c r="CB10" i="13" s="1"/>
  <c r="CB9" i="13" a="1"/>
  <c r="CB9" i="13" s="1"/>
  <c r="CB8" i="13" a="1"/>
  <c r="CB8" i="13" s="1"/>
  <c r="CB7" i="13" a="1"/>
  <c r="CB7" i="13" s="1"/>
  <c r="CA80" i="13" a="1"/>
  <c r="CA80" i="13" s="1"/>
  <c r="CA79" i="13" a="1"/>
  <c r="CA79" i="13" s="1"/>
  <c r="CA78" i="13" a="1"/>
  <c r="CA78" i="13" s="1"/>
  <c r="CA77" i="13" a="1"/>
  <c r="CA77" i="13" s="1"/>
  <c r="CA76" i="13" a="1"/>
  <c r="CA76" i="13" s="1"/>
  <c r="CA75" i="13" a="1"/>
  <c r="CA75" i="13" s="1"/>
  <c r="CA74" i="13" a="1"/>
  <c r="CA74" i="13" s="1"/>
  <c r="CA73" i="13" a="1"/>
  <c r="CA73" i="13" s="1"/>
  <c r="CA72" i="13" a="1"/>
  <c r="CA72" i="13" s="1"/>
  <c r="CA71" i="13" a="1"/>
  <c r="CA71" i="13" s="1"/>
  <c r="CA70" i="13" a="1"/>
  <c r="CA70" i="13" s="1"/>
  <c r="CA69" i="13" a="1"/>
  <c r="CA69" i="13" s="1"/>
  <c r="CA68" i="13" a="1"/>
  <c r="CA68" i="13" s="1"/>
  <c r="CA67" i="13" a="1"/>
  <c r="CA67" i="13" s="1"/>
  <c r="CA66" i="13" a="1"/>
  <c r="CA66" i="13" s="1"/>
  <c r="CA65" i="13" a="1"/>
  <c r="CA65" i="13" s="1"/>
  <c r="CA64" i="13" a="1"/>
  <c r="CA64" i="13" s="1"/>
  <c r="CA63" i="13" a="1"/>
  <c r="CA63" i="13" s="1"/>
  <c r="CA62" i="13" a="1"/>
  <c r="CA62" i="13" s="1"/>
  <c r="CA61" i="13" a="1"/>
  <c r="CA61" i="13" s="1"/>
  <c r="CA60" i="13" a="1"/>
  <c r="CA60" i="13" s="1"/>
  <c r="CA59" i="13" a="1"/>
  <c r="CA59" i="13" s="1"/>
  <c r="CA58" i="13" a="1"/>
  <c r="CA58" i="13" s="1"/>
  <c r="CA57" i="13" a="1"/>
  <c r="CA57" i="13" s="1"/>
  <c r="CA56" i="13" a="1"/>
  <c r="CA56" i="13" s="1"/>
  <c r="CA55" i="13" a="1"/>
  <c r="CA55" i="13" s="1"/>
  <c r="CA54" i="13" a="1"/>
  <c r="CA54" i="13" s="1"/>
  <c r="CA53" i="13" a="1"/>
  <c r="CA53" i="13" s="1"/>
  <c r="CA52" i="13" a="1"/>
  <c r="CA52" i="13" s="1"/>
  <c r="CA51" i="13" a="1"/>
  <c r="CA51" i="13" s="1"/>
  <c r="CA50" i="13" a="1"/>
  <c r="CA50" i="13" s="1"/>
  <c r="CA49" i="13" a="1"/>
  <c r="CA49" i="13" s="1"/>
  <c r="CA48" i="13" a="1"/>
  <c r="CA48" i="13" s="1"/>
  <c r="CA47" i="13" a="1"/>
  <c r="CA47" i="13" s="1"/>
  <c r="CA46" i="13" a="1"/>
  <c r="CA46" i="13" s="1"/>
  <c r="CA45" i="13" a="1"/>
  <c r="CA45" i="13" s="1"/>
  <c r="CA44" i="13" a="1"/>
  <c r="CA44" i="13" s="1"/>
  <c r="CA43" i="13" a="1"/>
  <c r="CA43" i="13" s="1"/>
  <c r="CA42" i="13" a="1"/>
  <c r="CA42" i="13" s="1"/>
  <c r="CA41" i="13" a="1"/>
  <c r="CA41" i="13" s="1"/>
  <c r="CA40" i="13" a="1"/>
  <c r="CA40" i="13" s="1"/>
  <c r="CA39" i="13" a="1"/>
  <c r="CA39" i="13" s="1"/>
  <c r="CA38" i="13" a="1"/>
  <c r="CA38" i="13" s="1"/>
  <c r="CA37" i="13" a="1"/>
  <c r="CA37" i="13" s="1"/>
  <c r="CA36" i="13" a="1"/>
  <c r="CA36" i="13" s="1"/>
  <c r="CA35" i="13" a="1"/>
  <c r="CA35" i="13" s="1"/>
  <c r="CA34" i="13" a="1"/>
  <c r="CA34" i="13" s="1"/>
  <c r="CA33" i="13" a="1"/>
  <c r="CA33" i="13" s="1"/>
  <c r="CA32" i="13" a="1"/>
  <c r="CA32" i="13" s="1"/>
  <c r="CA31" i="13" a="1"/>
  <c r="CA31" i="13" s="1"/>
  <c r="CA30" i="13" a="1"/>
  <c r="CA30" i="13" s="1"/>
  <c r="CA29" i="13" a="1"/>
  <c r="CA29" i="13" s="1"/>
  <c r="CA28" i="13" a="1"/>
  <c r="CA28" i="13" s="1"/>
  <c r="CA27" i="13" a="1"/>
  <c r="CA27" i="13" s="1"/>
  <c r="CA26" i="13" a="1"/>
  <c r="CA26" i="13" s="1"/>
  <c r="CA25" i="13" a="1"/>
  <c r="CA25" i="13" s="1"/>
  <c r="CA24" i="13" a="1"/>
  <c r="CA24" i="13" s="1"/>
  <c r="CA23" i="13" a="1"/>
  <c r="CA23" i="13" s="1"/>
  <c r="CA22" i="13" a="1"/>
  <c r="CA22" i="13" s="1"/>
  <c r="CA21" i="13" a="1"/>
  <c r="CA21" i="13" s="1"/>
  <c r="CA20" i="13" a="1"/>
  <c r="CA20" i="13" s="1"/>
  <c r="CA19" i="13" a="1"/>
  <c r="CA19" i="13" s="1"/>
  <c r="CA18" i="13" a="1"/>
  <c r="CA18" i="13" s="1"/>
  <c r="CA17" i="13" a="1"/>
  <c r="CA17" i="13" s="1"/>
  <c r="CA16" i="13" a="1"/>
  <c r="CA16" i="13" s="1"/>
  <c r="CA15" i="13" a="1"/>
  <c r="CA15" i="13" s="1"/>
  <c r="CA14" i="13" a="1"/>
  <c r="CA14" i="13" s="1"/>
  <c r="CA13" i="13" a="1"/>
  <c r="CA13" i="13" s="1"/>
  <c r="CA12" i="13" a="1"/>
  <c r="CA12" i="13" s="1"/>
  <c r="CA11" i="13" a="1"/>
  <c r="CA11" i="13" s="1"/>
  <c r="CA10" i="13" a="1"/>
  <c r="CA10" i="13" s="1"/>
  <c r="CA9" i="13" a="1"/>
  <c r="CA9" i="13" s="1"/>
  <c r="CA8" i="13" a="1"/>
  <c r="CA8" i="13" s="1"/>
  <c r="CA7" i="13" a="1"/>
  <c r="CA7" i="13" s="1"/>
  <c r="BZ80" i="13" a="1"/>
  <c r="BZ80" i="13" s="1"/>
  <c r="BZ79" i="13" a="1"/>
  <c r="BZ79" i="13" s="1"/>
  <c r="BZ78" i="13" a="1"/>
  <c r="BZ78" i="13" s="1"/>
  <c r="BZ77" i="13" a="1"/>
  <c r="BZ77" i="13" s="1"/>
  <c r="BZ76" i="13" a="1"/>
  <c r="BZ76" i="13" s="1"/>
  <c r="BZ75" i="13" a="1"/>
  <c r="BZ75" i="13" s="1"/>
  <c r="BZ74" i="13" a="1"/>
  <c r="BZ74" i="13" s="1"/>
  <c r="BZ73" i="13" a="1"/>
  <c r="BZ73" i="13" s="1"/>
  <c r="BZ72" i="13" a="1"/>
  <c r="BZ72" i="13" s="1"/>
  <c r="BZ71" i="13" a="1"/>
  <c r="BZ71" i="13" s="1"/>
  <c r="BZ70" i="13" a="1"/>
  <c r="BZ70" i="13" s="1"/>
  <c r="BZ69" i="13" a="1"/>
  <c r="BZ69" i="13" s="1"/>
  <c r="BZ68" i="13" a="1"/>
  <c r="BZ68" i="13" s="1"/>
  <c r="BZ67" i="13" a="1"/>
  <c r="BZ67" i="13" s="1"/>
  <c r="BZ66" i="13" a="1"/>
  <c r="BZ66" i="13" s="1"/>
  <c r="BZ65" i="13" a="1"/>
  <c r="BZ65" i="13" s="1"/>
  <c r="BZ64" i="13" a="1"/>
  <c r="BZ64" i="13" s="1"/>
  <c r="BZ63" i="13" a="1"/>
  <c r="BZ63" i="13" s="1"/>
  <c r="BZ62" i="13" a="1"/>
  <c r="BZ62" i="13" s="1"/>
  <c r="BZ61" i="13" a="1"/>
  <c r="BZ61" i="13" s="1"/>
  <c r="BZ60" i="13" a="1"/>
  <c r="BZ60" i="13" s="1"/>
  <c r="BZ59" i="13" a="1"/>
  <c r="BZ59" i="13" s="1"/>
  <c r="BZ58" i="13" a="1"/>
  <c r="BZ58" i="13" s="1"/>
  <c r="BZ57" i="13" a="1"/>
  <c r="BZ57" i="13" s="1"/>
  <c r="BZ56" i="13" a="1"/>
  <c r="BZ56" i="13" s="1"/>
  <c r="BZ55" i="13" a="1"/>
  <c r="BZ55" i="13" s="1"/>
  <c r="BZ54" i="13" a="1"/>
  <c r="BZ54" i="13" s="1"/>
  <c r="BZ53" i="13" a="1"/>
  <c r="BZ53" i="13" s="1"/>
  <c r="BZ52" i="13" a="1"/>
  <c r="BZ52" i="13" s="1"/>
  <c r="BZ51" i="13" a="1"/>
  <c r="BZ51" i="13" s="1"/>
  <c r="BZ50" i="13" a="1"/>
  <c r="BZ50" i="13" s="1"/>
  <c r="BZ49" i="13" a="1"/>
  <c r="BZ49" i="13" s="1"/>
  <c r="BZ48" i="13" a="1"/>
  <c r="BZ48" i="13" s="1"/>
  <c r="BZ47" i="13" a="1"/>
  <c r="BZ47" i="13" s="1"/>
  <c r="BZ46" i="13" a="1"/>
  <c r="BZ46" i="13" s="1"/>
  <c r="BZ45" i="13" a="1"/>
  <c r="BZ45" i="13" s="1"/>
  <c r="BZ44" i="13" a="1"/>
  <c r="BZ44" i="13" s="1"/>
  <c r="BZ43" i="13" a="1"/>
  <c r="BZ43" i="13" s="1"/>
  <c r="BZ42" i="13" a="1"/>
  <c r="BZ42" i="13" s="1"/>
  <c r="BZ41" i="13" a="1"/>
  <c r="BZ41" i="13" s="1"/>
  <c r="BZ40" i="13" a="1"/>
  <c r="BZ40" i="13" s="1"/>
  <c r="BZ39" i="13" a="1"/>
  <c r="BZ39" i="13" s="1"/>
  <c r="BZ38" i="13" a="1"/>
  <c r="BZ38" i="13" s="1"/>
  <c r="BZ37" i="13" a="1"/>
  <c r="BZ37" i="13" s="1"/>
  <c r="BZ36" i="13" a="1"/>
  <c r="BZ36" i="13" s="1"/>
  <c r="BZ35" i="13" a="1"/>
  <c r="BZ35" i="13" s="1"/>
  <c r="BZ34" i="13" a="1"/>
  <c r="BZ34" i="13" s="1"/>
  <c r="BZ33" i="13" a="1"/>
  <c r="BZ33" i="13" s="1"/>
  <c r="BZ32" i="13" a="1"/>
  <c r="BZ32" i="13" s="1"/>
  <c r="BZ31" i="13" a="1"/>
  <c r="BZ31" i="13" s="1"/>
  <c r="BZ30" i="13" a="1"/>
  <c r="BZ30" i="13" s="1"/>
  <c r="BZ29" i="13" a="1"/>
  <c r="BZ29" i="13" s="1"/>
  <c r="BZ28" i="13" a="1"/>
  <c r="BZ28" i="13" s="1"/>
  <c r="BZ27" i="13" a="1"/>
  <c r="BZ27" i="13" s="1"/>
  <c r="BZ26" i="13" a="1"/>
  <c r="BZ26" i="13" s="1"/>
  <c r="BZ25" i="13" a="1"/>
  <c r="BZ25" i="13" s="1"/>
  <c r="BZ24" i="13" a="1"/>
  <c r="BZ24" i="13" s="1"/>
  <c r="BZ23" i="13" a="1"/>
  <c r="BZ23" i="13" s="1"/>
  <c r="BZ22" i="13" a="1"/>
  <c r="BZ22" i="13" s="1"/>
  <c r="BZ21" i="13" a="1"/>
  <c r="BZ21" i="13" s="1"/>
  <c r="BZ20" i="13" a="1"/>
  <c r="BZ20" i="13" s="1"/>
  <c r="BZ19" i="13" a="1"/>
  <c r="BZ19" i="13" s="1"/>
  <c r="BZ18" i="13" a="1"/>
  <c r="BZ18" i="13" s="1"/>
  <c r="BZ17" i="13" a="1"/>
  <c r="BZ17" i="13" s="1"/>
  <c r="BZ16" i="13" a="1"/>
  <c r="BZ16" i="13" s="1"/>
  <c r="BZ15" i="13" a="1"/>
  <c r="BZ15" i="13" s="1"/>
  <c r="BZ14" i="13" a="1"/>
  <c r="BZ14" i="13" s="1"/>
  <c r="BZ13" i="13" a="1"/>
  <c r="BZ13" i="13" s="1"/>
  <c r="BZ12" i="13" a="1"/>
  <c r="BZ12" i="13" s="1"/>
  <c r="BZ11" i="13" a="1"/>
  <c r="BZ11" i="13" s="1"/>
  <c r="BZ10" i="13" a="1"/>
  <c r="BZ10" i="13" s="1"/>
  <c r="BZ9" i="13" a="1"/>
  <c r="BZ9" i="13" s="1"/>
  <c r="BZ8" i="13" a="1"/>
  <c r="BZ8" i="13" s="1"/>
  <c r="BZ7" i="13" a="1"/>
  <c r="BZ7" i="13" s="1"/>
  <c r="CC81" i="13" l="1"/>
  <c r="CB81" i="13"/>
  <c r="CA81" i="13"/>
  <c r="BZ81" i="13"/>
  <c r="CD64" i="13"/>
  <c r="CD68" i="13"/>
  <c r="CD72" i="13"/>
  <c r="CD76" i="13"/>
  <c r="CD80" i="13"/>
  <c r="CD20" i="13"/>
  <c r="CD16" i="13"/>
  <c r="CD28" i="13"/>
  <c r="CD24" i="13"/>
  <c r="CD32" i="13"/>
  <c r="CD36" i="13"/>
  <c r="CD40" i="13"/>
  <c r="CD44" i="13"/>
  <c r="CD48" i="13"/>
  <c r="CD52" i="13"/>
  <c r="CD56" i="13"/>
  <c r="CD60" i="13"/>
  <c r="CD14" i="13"/>
  <c r="CD30" i="13"/>
  <c r="CD38" i="13"/>
  <c r="CD50" i="13"/>
  <c r="CD62" i="13"/>
  <c r="CD74" i="13"/>
  <c r="CD18" i="13"/>
  <c r="CD26" i="13"/>
  <c r="CD34" i="13"/>
  <c r="CD46" i="13"/>
  <c r="CD58" i="13"/>
  <c r="CD70" i="13"/>
  <c r="CD15" i="13"/>
  <c r="CD19" i="13"/>
  <c r="CD23" i="13"/>
  <c r="CD27" i="13"/>
  <c r="CD31" i="13"/>
  <c r="CD35" i="13"/>
  <c r="CD39" i="13"/>
  <c r="CD43" i="13"/>
  <c r="CD47" i="13"/>
  <c r="CD51" i="13"/>
  <c r="CD55" i="13"/>
  <c r="CD59" i="13"/>
  <c r="CD63" i="13"/>
  <c r="CD10" i="13"/>
  <c r="CD22" i="13"/>
  <c r="CD42" i="13"/>
  <c r="CD54" i="13"/>
  <c r="CD66" i="13"/>
  <c r="CD78" i="13"/>
  <c r="CD21" i="13"/>
  <c r="CD29" i="13"/>
  <c r="CD37" i="13"/>
  <c r="CD45" i="13"/>
  <c r="CD53" i="13"/>
  <c r="CD61" i="13"/>
  <c r="CD65" i="13"/>
  <c r="CD69" i="13"/>
  <c r="CD73" i="13"/>
  <c r="CD77" i="13"/>
  <c r="CD17" i="13"/>
  <c r="CD11" i="13"/>
  <c r="CD49" i="13"/>
  <c r="CD57" i="13"/>
  <c r="CD79" i="13"/>
  <c r="CD12" i="13"/>
  <c r="CD9" i="13"/>
  <c r="CD67" i="13"/>
  <c r="CD71" i="13"/>
  <c r="CD25" i="13"/>
  <c r="CD13" i="13"/>
  <c r="CD75" i="13"/>
  <c r="CD33" i="13"/>
  <c r="CD41" i="13"/>
  <c r="CD8" i="13"/>
  <c r="CD7" i="13"/>
  <c r="CD8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Karthikeyan, Sumithra</author>
  </authors>
  <commentList>
    <comment ref="Z9" authorId="0" shapeId="0" xr:uid="{118EE0FE-74FA-41F8-9608-EFA6941FBD22}">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0" authorId="0" shapeId="0" xr:uid="{1855ACF1-4A01-4832-87CE-1A2F3200A8FB}">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2" authorId="0" shapeId="0" xr:uid="{6357AEC1-06D2-44A7-9CE6-246653699E94}">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3" authorId="0" shapeId="0" xr:uid="{50F26FDF-C0F1-4D16-B665-D9443065D647}">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5" authorId="0" shapeId="0" xr:uid="{58B70DBB-799D-401B-8A11-D95EB38E4C6A}">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3" authorId="0" shapeId="0" xr:uid="{AA3BFCBE-95A2-414C-A7C5-E93CB64C3012}">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6" authorId="0" shapeId="0" xr:uid="{986D72FC-2751-4E6F-98FA-837677CCF729}">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7" authorId="0" shapeId="0" xr:uid="{595077A6-9956-4E4E-BB2F-EA71E4AC305E}">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8" authorId="0" shapeId="0" xr:uid="{A5F28788-668C-40D2-B789-0C6DCEC46E14}">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9" authorId="0" shapeId="0" xr:uid="{E17D0083-FAD9-4A73-BDE9-B3EC138F7143}">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0" authorId="0" shapeId="0" xr:uid="{77DFED50-CA93-403F-9FC7-91AEE661E138}">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1" authorId="0" shapeId="0" xr:uid="{4D42F621-CDCF-4700-B5C2-B17FBB9AFE73}">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2" authorId="0" shapeId="0" xr:uid="{0B8AE5AE-008C-4DCB-B49A-9808FC53A539}">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3" authorId="0" shapeId="0" xr:uid="{50DFC6C0-FE65-4B7D-9B8E-1D5540FF2F6C}">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4" authorId="0" shapeId="0" xr:uid="{184DA6DC-A45A-43CC-AD12-CC61BE350791}">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43" authorId="0" shapeId="0" xr:uid="{8B26FB3D-F744-4584-8719-080F408E3DC0}">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59" authorId="0" shapeId="0" xr:uid="{9CEC04A3-E26E-4924-AF97-8F3A2AB46A75}">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63" authorId="0" shapeId="0" xr:uid="{11359903-0560-41B6-8CB5-BDA40B45D40E}">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66" authorId="0" shapeId="0" xr:uid="{84E4A06A-E5F9-44E4-B877-AFD70A61D862}">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67" authorId="0" shapeId="0" xr:uid="{E8067DC1-68C5-423C-AFDE-202E933BECFA}">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80" authorId="0" shapeId="0" xr:uid="{A0FB2852-63BD-4FC9-9693-C13062BADD48}">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Huckel, Karina</author>
    <author>Mulcahy, Timothy (Tim)</author>
  </authors>
  <commentList>
    <comment ref="A1" authorId="0" shapeId="0" xr:uid="{F26E9CBC-FF2C-4E16-A811-CD75D9B0F0C9}">
      <text>
        <r>
          <rPr>
            <b/>
            <sz val="9"/>
            <color indexed="81"/>
            <rFont val="Tahoma"/>
            <family val="2"/>
          </rPr>
          <t>Huckel, Karina:</t>
        </r>
        <r>
          <rPr>
            <sz val="9"/>
            <color indexed="81"/>
            <rFont val="Tahoma"/>
            <family val="2"/>
          </rPr>
          <t xml:space="preserve">
Originally APRM number and now in Servicenow
9999=not available in APRM or Servicenow</t>
        </r>
      </text>
    </comment>
    <comment ref="B1" authorId="0" shapeId="0" xr:uid="{4FF4C610-085A-4784-AA8A-994D4A0B1AA5}">
      <text>
        <r>
          <rPr>
            <b/>
            <sz val="9"/>
            <color indexed="81"/>
            <rFont val="Tahoma"/>
            <family val="2"/>
          </rPr>
          <t>Huckel, Karina:</t>
        </r>
        <r>
          <rPr>
            <sz val="9"/>
            <color indexed="81"/>
            <rFont val="Tahoma"/>
            <family val="2"/>
          </rPr>
          <t xml:space="preserve">
Downloaded from SNOW to obtain official name.</t>
        </r>
      </text>
    </comment>
    <comment ref="C1" authorId="0" shapeId="0" xr:uid="{F6A40D16-3F1E-4AA0-9C4D-895B499D2FB0}">
      <text>
        <r>
          <rPr>
            <b/>
            <sz val="9"/>
            <color indexed="81"/>
            <rFont val="Tahoma"/>
            <family val="2"/>
          </rPr>
          <t>Huckel, Karina:</t>
        </r>
        <r>
          <rPr>
            <sz val="9"/>
            <color indexed="81"/>
            <rFont val="Tahoma"/>
            <family val="2"/>
          </rPr>
          <t xml:space="preserve">
8/1/24
This came out of APRM in 2020.
However there were some marked Retired but were not Retired. 
This may not be the correct state of where it is today.
Complete were ones done by working team in 2020ish.
Decommission means they were done before 2020 by other teams (older than 2020)
Go Forward will not retire.
Retired marked before 2020.
</t>
        </r>
        <r>
          <rPr>
            <b/>
            <sz val="9"/>
            <color indexed="81"/>
            <rFont val="Tahoma"/>
            <family val="2"/>
          </rPr>
          <t xml:space="preserve">
CURRENT STATUSES USED AFTER CLEANUP</t>
        </r>
        <r>
          <rPr>
            <sz val="9"/>
            <color indexed="81"/>
            <rFont val="Tahoma"/>
            <family val="2"/>
          </rPr>
          <t xml:space="preserve">
</t>
        </r>
        <r>
          <rPr>
            <b/>
            <u/>
            <sz val="9"/>
            <color indexed="81"/>
            <rFont val="Tahoma"/>
            <family val="2"/>
          </rPr>
          <t>Not Started Definitions</t>
        </r>
        <r>
          <rPr>
            <sz val="9"/>
            <color indexed="81"/>
            <rFont val="Tahoma"/>
            <family val="2"/>
          </rPr>
          <t xml:space="preserve">
Not Started: needs decom and not started.
Not Started-Early Decom: needs decom and could be started earlier than audits.
Not Started-Potential Decom: needs decom but needs further analysis to determine ability to decom before audits.
</t>
        </r>
        <r>
          <rPr>
            <b/>
            <u/>
            <sz val="9"/>
            <color indexed="81"/>
            <rFont val="Tahoma"/>
            <family val="2"/>
          </rPr>
          <t>Completed - Year</t>
        </r>
        <r>
          <rPr>
            <sz val="9"/>
            <color indexed="81"/>
            <rFont val="Tahoma"/>
            <family val="2"/>
          </rPr>
          <t xml:space="preserve">
Will be used for decom and the year associated so we can produce graphical representations. Started using this approach in 2024.
</t>
        </r>
        <r>
          <rPr>
            <b/>
            <u/>
            <sz val="9"/>
            <color indexed="81"/>
            <rFont val="Tahoma"/>
            <family val="2"/>
          </rPr>
          <t xml:space="preserve">
In Progress</t>
        </r>
      </text>
    </comment>
    <comment ref="H1" authorId="0" shapeId="0" xr:uid="{A1EE5F4E-3806-44CE-B105-D6624FD035AF}">
      <text>
        <r>
          <rPr>
            <b/>
            <sz val="9"/>
            <color indexed="81"/>
            <rFont val="Tahoma"/>
            <family val="2"/>
          </rPr>
          <t>Huckel, Karina:</t>
        </r>
        <r>
          <rPr>
            <sz val="9"/>
            <color indexed="81"/>
            <rFont val="Tahoma"/>
            <family val="2"/>
          </rPr>
          <t xml:space="preserve">
Came from SNOW plus updates from the team</t>
        </r>
      </text>
    </comment>
    <comment ref="L1" authorId="0" shapeId="0" xr:uid="{00B1984B-4955-4BA2-B5D2-BB48C6165310}">
      <text>
        <r>
          <rPr>
            <b/>
            <sz val="9"/>
            <color indexed="81"/>
            <rFont val="Tahoma"/>
            <family val="2"/>
          </rPr>
          <t>Huckel, Karina:</t>
        </r>
        <r>
          <rPr>
            <sz val="9"/>
            <color indexed="81"/>
            <rFont val="Tahoma"/>
            <family val="2"/>
          </rPr>
          <t xml:space="preserve">
(Y-CL, Y-Farm, Y-Both, N)</t>
        </r>
      </text>
    </comment>
    <comment ref="M1" authorId="0" shapeId="0" xr:uid="{F6B6E793-0EE7-4792-982D-69A048723F9F}">
      <text>
        <r>
          <rPr>
            <b/>
            <sz val="9"/>
            <color indexed="81"/>
            <rFont val="Tahoma"/>
            <family val="2"/>
          </rPr>
          <t>Huckel, Karina:</t>
        </r>
        <r>
          <rPr>
            <sz val="9"/>
            <color indexed="81"/>
            <rFont val="Tahoma"/>
            <family val="2"/>
          </rPr>
          <t xml:space="preserve">
Came from APRM and was recorded from the system when pulled in approx 2020</t>
        </r>
      </text>
    </comment>
    <comment ref="N1" authorId="0" shapeId="0" xr:uid="{72561DAF-087E-4711-A644-2D472981E93A}">
      <text>
        <r>
          <rPr>
            <b/>
            <sz val="9"/>
            <color indexed="81"/>
            <rFont val="Tahoma"/>
            <family val="2"/>
          </rPr>
          <t>Huckel, Karina:</t>
        </r>
        <r>
          <rPr>
            <sz val="9"/>
            <color indexed="81"/>
            <rFont val="Tahoma"/>
            <family val="2"/>
          </rPr>
          <t xml:space="preserve">
Came from APRM</t>
        </r>
      </text>
    </comment>
    <comment ref="O1" authorId="0" shapeId="0" xr:uid="{E6E99BF6-5015-4F75-967F-A3BB16B8D778}">
      <text>
        <r>
          <rPr>
            <b/>
            <sz val="9"/>
            <color indexed="81"/>
            <rFont val="Tahoma"/>
            <family val="2"/>
          </rPr>
          <t>Huckel, Karina:</t>
        </r>
        <r>
          <rPr>
            <sz val="9"/>
            <color indexed="81"/>
            <rFont val="Tahoma"/>
            <family val="2"/>
          </rPr>
          <t xml:space="preserve">
Field initially from APRM.
No longer using the application.</t>
        </r>
      </text>
    </comment>
    <comment ref="P1" authorId="0" shapeId="0" xr:uid="{CE406BE0-82FC-4EF1-BE0D-10FCD8B2CDC5}">
      <text>
        <r>
          <rPr>
            <b/>
            <sz val="9"/>
            <color indexed="81"/>
            <rFont val="Tahoma"/>
            <family val="2"/>
          </rPr>
          <t>Huckel, Karina:</t>
        </r>
        <r>
          <rPr>
            <sz val="9"/>
            <color indexed="81"/>
            <rFont val="Tahoma"/>
            <family val="2"/>
          </rPr>
          <t xml:space="preserve">
Used for pivot tables</t>
        </r>
      </text>
    </comment>
    <comment ref="Q1" authorId="0" shapeId="0" xr:uid="{B14606F5-D32B-4971-8482-460115CEBBC0}">
      <text>
        <r>
          <rPr>
            <b/>
            <sz val="9"/>
            <color indexed="81"/>
            <rFont val="Tahoma"/>
            <family val="2"/>
          </rPr>
          <t>Huckel, Karina:</t>
        </r>
        <r>
          <rPr>
            <sz val="9"/>
            <color indexed="81"/>
            <rFont val="Tahoma"/>
            <family val="2"/>
          </rPr>
          <t xml:space="preserve">
Originally from HV decom before CL was involved</t>
        </r>
      </text>
    </comment>
    <comment ref="R1" authorId="0" shapeId="0" xr:uid="{F527D07D-CEDF-45CA-8927-AF8EAF60C66D}">
      <text>
        <r>
          <rPr>
            <b/>
            <sz val="9"/>
            <color indexed="81"/>
            <rFont val="Tahoma"/>
            <family val="2"/>
          </rPr>
          <t>Huckel, Karina:</t>
        </r>
        <r>
          <rPr>
            <sz val="9"/>
            <color indexed="81"/>
            <rFont val="Tahoma"/>
            <family val="2"/>
          </rPr>
          <t xml:space="preserve">
Originally from HV decom before CL was involved</t>
        </r>
      </text>
    </comment>
    <comment ref="S1" authorId="0" shapeId="0" xr:uid="{C2E728B9-F695-45C4-9178-35DB0DB01298}">
      <text>
        <r>
          <rPr>
            <b/>
            <sz val="9"/>
            <color indexed="81"/>
            <rFont val="Tahoma"/>
            <family val="2"/>
          </rPr>
          <t>Huckel, Karina:</t>
        </r>
        <r>
          <rPr>
            <sz val="9"/>
            <color indexed="81"/>
            <rFont val="Tahoma"/>
            <family val="2"/>
          </rPr>
          <t xml:space="preserve">
Originally from HV decom before CL was involved</t>
        </r>
      </text>
    </comment>
    <comment ref="T1" authorId="0" shapeId="0" xr:uid="{05D74D81-18D3-40E7-A470-095ABD59FCCE}">
      <text>
        <r>
          <rPr>
            <b/>
            <sz val="9"/>
            <color indexed="81"/>
            <rFont val="Tahoma"/>
            <family val="2"/>
          </rPr>
          <t>Huckel, Karina:</t>
        </r>
        <r>
          <rPr>
            <sz val="9"/>
            <color indexed="81"/>
            <rFont val="Tahoma"/>
            <family val="2"/>
          </rPr>
          <t xml:space="preserve">
Originally from HV decom before CL was involved</t>
        </r>
      </text>
    </comment>
    <comment ref="U1" authorId="0" shapeId="0" xr:uid="{C4690DC1-3886-4039-9097-33A2085D0F63}">
      <text>
        <r>
          <rPr>
            <b/>
            <sz val="9"/>
            <color indexed="81"/>
            <rFont val="Tahoma"/>
            <family val="2"/>
          </rPr>
          <t>Huckel, Karina:</t>
        </r>
        <r>
          <rPr>
            <sz val="9"/>
            <color indexed="81"/>
            <rFont val="Tahoma"/>
            <family val="2"/>
          </rPr>
          <t xml:space="preserve">
Originally from HV decom before CL was involved</t>
        </r>
      </text>
    </comment>
    <comment ref="V1" authorId="0" shapeId="0" xr:uid="{F2AEB8D7-617A-4012-A617-67C7BB15498E}">
      <text>
        <r>
          <rPr>
            <b/>
            <sz val="9"/>
            <color indexed="81"/>
            <rFont val="Tahoma"/>
            <family val="2"/>
          </rPr>
          <t>Huckel, Karina:</t>
        </r>
        <r>
          <rPr>
            <sz val="9"/>
            <color indexed="81"/>
            <rFont val="Tahoma"/>
            <family val="2"/>
          </rPr>
          <t xml:space="preserve">
Originally from HV decom before CL was involved</t>
        </r>
      </text>
    </comment>
    <comment ref="W1" authorId="0" shapeId="0" xr:uid="{F38160FC-E3B7-4AA7-9856-F371A96E1BDB}">
      <text>
        <r>
          <rPr>
            <b/>
            <sz val="9"/>
            <color indexed="81"/>
            <rFont val="Tahoma"/>
            <family val="2"/>
          </rPr>
          <t>Huckel, Karina:</t>
        </r>
        <r>
          <rPr>
            <sz val="9"/>
            <color indexed="81"/>
            <rFont val="Tahoma"/>
            <family val="2"/>
          </rPr>
          <t xml:space="preserve">
Originally from HV decom before CL was involved</t>
        </r>
      </text>
    </comment>
    <comment ref="X1" authorId="0" shapeId="0" xr:uid="{2F69AC03-FC0D-4795-B5DC-A76D28190F6A}">
      <text>
        <r>
          <rPr>
            <b/>
            <sz val="9"/>
            <color indexed="81"/>
            <rFont val="Tahoma"/>
            <family val="2"/>
          </rPr>
          <t>Huckel, Karina:</t>
        </r>
        <r>
          <rPr>
            <sz val="9"/>
            <color indexed="81"/>
            <rFont val="Tahoma"/>
            <family val="2"/>
          </rPr>
          <t xml:space="preserve">
Originally from HV decom before CL was involved</t>
        </r>
      </text>
    </comment>
    <comment ref="Y1" authorId="0" shapeId="0" xr:uid="{C7414400-1876-464F-970C-447B35331BDA}">
      <text>
        <r>
          <rPr>
            <b/>
            <sz val="9"/>
            <color indexed="81"/>
            <rFont val="Tahoma"/>
            <family val="2"/>
          </rPr>
          <t>Huckel, Karina:</t>
        </r>
        <r>
          <rPr>
            <sz val="9"/>
            <color indexed="81"/>
            <rFont val="Tahoma"/>
            <family val="2"/>
          </rPr>
          <t xml:space="preserve">
Originally from HV decom before CL was involved</t>
        </r>
      </text>
    </comment>
    <comment ref="Z1" authorId="0" shapeId="0" xr:uid="{F8C3467D-43FE-4EBE-950A-EE8D0F70FD28}">
      <text>
        <r>
          <rPr>
            <b/>
            <sz val="9"/>
            <color indexed="81"/>
            <rFont val="Tahoma"/>
            <family val="2"/>
          </rPr>
          <t>Huckel, Karina:</t>
        </r>
        <r>
          <rPr>
            <sz val="9"/>
            <color indexed="81"/>
            <rFont val="Tahoma"/>
            <family val="2"/>
          </rPr>
          <t xml:space="preserve">
Originally from HV decom before CL was involved</t>
        </r>
      </text>
    </comment>
    <comment ref="AA1" authorId="0" shapeId="0" xr:uid="{B45F0610-79A2-42A8-9911-F49FE673BFAB}">
      <text>
        <r>
          <rPr>
            <b/>
            <sz val="9"/>
            <color indexed="81"/>
            <rFont val="Tahoma"/>
            <family val="2"/>
          </rPr>
          <t>Huckel, Karina:</t>
        </r>
        <r>
          <rPr>
            <sz val="9"/>
            <color indexed="81"/>
            <rFont val="Tahoma"/>
            <family val="2"/>
          </rPr>
          <t xml:space="preserve">
Originally from HV decom before CL was involved</t>
        </r>
      </text>
    </comment>
    <comment ref="AB1" authorId="0" shapeId="0" xr:uid="{E459D2E8-D1A0-45B8-BF9E-A83C85433D6C}">
      <text>
        <r>
          <rPr>
            <b/>
            <sz val="9"/>
            <color indexed="81"/>
            <rFont val="Tahoma"/>
            <family val="2"/>
          </rPr>
          <t>Huckel, Karina:</t>
        </r>
        <r>
          <rPr>
            <sz val="9"/>
            <color indexed="81"/>
            <rFont val="Tahoma"/>
            <family val="2"/>
          </rPr>
          <t xml:space="preserve">
Labeled when picked up in 2020</t>
        </r>
      </text>
    </comment>
    <comment ref="AC1" authorId="0" shapeId="0" xr:uid="{CF1133B7-779D-45E2-8F5D-C1AFA811370B}">
      <text>
        <r>
          <rPr>
            <b/>
            <sz val="9"/>
            <color indexed="81"/>
            <rFont val="Tahoma"/>
            <family val="2"/>
          </rPr>
          <t>Huckel, Karina:</t>
        </r>
        <r>
          <rPr>
            <sz val="9"/>
            <color indexed="81"/>
            <rFont val="Tahoma"/>
            <family val="2"/>
          </rPr>
          <t xml:space="preserve">
Labeled when picked up in 2020</t>
        </r>
      </text>
    </comment>
    <comment ref="AD1" authorId="0" shapeId="0" xr:uid="{C3047C64-1D83-4E28-B7B4-73CDDA2EAD1D}">
      <text>
        <r>
          <rPr>
            <b/>
            <sz val="9"/>
            <color indexed="81"/>
            <rFont val="Tahoma"/>
            <family val="2"/>
          </rPr>
          <t>Huckel, Karina:</t>
        </r>
        <r>
          <rPr>
            <sz val="9"/>
            <color indexed="81"/>
            <rFont val="Tahoma"/>
            <family val="2"/>
          </rPr>
          <t xml:space="preserve">
Labeled when picked up in 2020</t>
        </r>
      </text>
    </comment>
    <comment ref="AE1" authorId="1" shapeId="0" xr:uid="{610DD558-4473-4A10-A871-C8AF4C0687A5}">
      <text>
        <r>
          <rPr>
            <b/>
            <sz val="9"/>
            <color indexed="81"/>
            <rFont val="Tahoma"/>
            <family val="2"/>
          </rPr>
          <t>Mulcahy, Timothy (Tim):</t>
        </r>
        <r>
          <rPr>
            <sz val="9"/>
            <color indexed="81"/>
            <rFont val="Tahoma"/>
            <family val="2"/>
          </rPr>
          <t xml:space="preserve">
Y = Yes, app has DB
N = No, not a DB in app
If it has a DB, then it would need to archive</t>
        </r>
      </text>
    </comment>
    <comment ref="AF1" authorId="1" shapeId="0" xr:uid="{42C5AA61-4627-4EDE-A203-CA8C055F98D1}">
      <text>
        <r>
          <rPr>
            <b/>
            <sz val="9"/>
            <color indexed="81"/>
            <rFont val="Tahoma"/>
            <family val="2"/>
          </rPr>
          <t>Mulcahy, Timothy (Tim):</t>
        </r>
        <r>
          <rPr>
            <sz val="9"/>
            <color indexed="81"/>
            <rFont val="Tahoma"/>
            <family val="2"/>
          </rPr>
          <t xml:space="preserve">
Identify type of data in the app, describe the database</t>
        </r>
      </text>
    </comment>
    <comment ref="AG1" authorId="1" shapeId="0" xr:uid="{74BB159B-2425-47CC-AC04-10148B9702A9}">
      <text>
        <r>
          <rPr>
            <b/>
            <sz val="9"/>
            <color indexed="81"/>
            <rFont val="Tahoma"/>
            <family val="2"/>
          </rPr>
          <t>Mulcahy, Timothy (Tim):</t>
        </r>
        <r>
          <rPr>
            <sz val="9"/>
            <color indexed="81"/>
            <rFont val="Tahoma"/>
            <family val="2"/>
          </rPr>
          <t xml:space="preserve">
System that owns the data, true source of the data
Y = This app is the system of record
N= This app is not the system of record</t>
        </r>
      </text>
    </comment>
    <comment ref="AH1" authorId="1" shapeId="0" xr:uid="{6F30D3ED-8011-412C-B1B1-BAF6BF9F7F1C}">
      <text>
        <r>
          <rPr>
            <b/>
            <sz val="9"/>
            <color indexed="81"/>
            <rFont val="Tahoma"/>
            <family val="2"/>
          </rPr>
          <t>Mulcahy, Timothy (Tim):</t>
        </r>
        <r>
          <rPr>
            <sz val="9"/>
            <color indexed="81"/>
            <rFont val="Tahoma"/>
            <family val="2"/>
          </rPr>
          <t xml:space="preserve">
What system is the system of record?
App name should be the same as ServiceNow/APRM
N/A = no data in app</t>
        </r>
      </text>
    </comment>
    <comment ref="AI1" authorId="1" shapeId="0" xr:uid="{928B5DED-67D4-4DDA-8236-F65092B28945}">
      <text>
        <r>
          <rPr>
            <b/>
            <sz val="9"/>
            <color indexed="81"/>
            <rFont val="Tahoma"/>
            <family val="2"/>
          </rPr>
          <t>Mulcahy, Timothy (Tim):</t>
        </r>
        <r>
          <rPr>
            <sz val="9"/>
            <color indexed="81"/>
            <rFont val="Tahoma"/>
            <family val="2"/>
          </rPr>
          <t xml:space="preserve">
Discard = delete data
Archive = retain data
N/A = no data in app</t>
        </r>
      </text>
    </comment>
    <comment ref="AJ1" authorId="1" shapeId="0" xr:uid="{6998DB5B-1756-49EB-BF13-5F6A1FFBB4FF}">
      <text>
        <r>
          <rPr>
            <b/>
            <sz val="9"/>
            <color indexed="81"/>
            <rFont val="Tahoma"/>
            <family val="2"/>
          </rPr>
          <t>Mulcahy, Timothy (Tim):</t>
        </r>
        <r>
          <rPr>
            <sz val="9"/>
            <color indexed="81"/>
            <rFont val="Tahoma"/>
            <family val="2"/>
          </rPr>
          <t xml:space="preserve">
Per RIM guidelines
N/A = no data in app
Worked with Retention Leader to gather this (part of legal).
If there is an active Legal Hold, you cannot delete the data.  </t>
        </r>
      </text>
    </comment>
    <comment ref="AL1" authorId="0" shapeId="0" xr:uid="{76D36C77-8F21-4346-9174-15AA2651F3DF}">
      <text>
        <r>
          <rPr>
            <b/>
            <sz val="9"/>
            <color indexed="81"/>
            <rFont val="Tahoma"/>
            <family val="2"/>
          </rPr>
          <t>Huckel, Karina:</t>
        </r>
        <r>
          <rPr>
            <sz val="9"/>
            <color indexed="81"/>
            <rFont val="Tahoma"/>
            <family val="2"/>
          </rPr>
          <t xml:space="preserve">
Is the access to the app an API or Service?</t>
        </r>
      </text>
    </comment>
    <comment ref="AM1" authorId="0" shapeId="0" xr:uid="{B3DFC764-BD1B-4001-89DB-6C2E3ACD67E5}">
      <text>
        <r>
          <rPr>
            <b/>
            <sz val="9"/>
            <color indexed="81"/>
            <rFont val="Tahoma"/>
            <family val="2"/>
          </rPr>
          <t>Huckel, Karina:</t>
        </r>
        <r>
          <rPr>
            <sz val="9"/>
            <color indexed="81"/>
            <rFont val="Tahoma"/>
            <family val="2"/>
          </rPr>
          <t xml:space="preserve">
Does it have a user iterface? Is it customer and/or associate facing?</t>
        </r>
      </text>
    </comment>
    <comment ref="AN1" authorId="0" shapeId="0" xr:uid="{8E816F43-E2B4-4F1A-A6A1-D65773D76876}">
      <text>
        <r>
          <rPr>
            <b/>
            <sz val="9"/>
            <color indexed="81"/>
            <rFont val="Tahoma"/>
            <family val="2"/>
          </rPr>
          <t>Huckel, Karina:</t>
        </r>
        <r>
          <rPr>
            <sz val="9"/>
            <color indexed="81"/>
            <rFont val="Tahoma"/>
            <family val="2"/>
          </rPr>
          <t xml:space="preserve">
Is it batch or bulk that data is updated?</t>
        </r>
      </text>
    </comment>
    <comment ref="AO1" authorId="0" shapeId="0" xr:uid="{EF42B963-9BE2-42AF-BA1E-759D4E2FDFBD}">
      <text>
        <r>
          <rPr>
            <b/>
            <sz val="9"/>
            <color indexed="81"/>
            <rFont val="Tahoma"/>
            <family val="2"/>
          </rPr>
          <t>Huckel, Karina:</t>
        </r>
        <r>
          <rPr>
            <sz val="9"/>
            <color indexed="81"/>
            <rFont val="Tahoma"/>
            <family val="2"/>
          </rPr>
          <t xml:space="preserve">
How we use Glacier and how the data is accessed real time or multi-day?
Need to determine if this field is needed.</t>
        </r>
      </text>
    </comment>
    <comment ref="AP1" authorId="1" shapeId="0" xr:uid="{7F38FDAC-E643-40B8-B63A-48DE5A82E805}">
      <text>
        <r>
          <rPr>
            <b/>
            <sz val="9"/>
            <color indexed="81"/>
            <rFont val="Tahoma"/>
            <family val="2"/>
          </rPr>
          <t>Mulcahy, Timothy (Tim):</t>
        </r>
        <r>
          <rPr>
            <sz val="9"/>
            <color indexed="81"/>
            <rFont val="Tahoma"/>
            <family val="2"/>
          </rPr>
          <t xml:space="preserve">
Per RIM guidelines
N/A = no data in app
Lakehouse = Hercules.
S3 = Cloud Store</t>
        </r>
      </text>
    </comment>
    <comment ref="AR1" authorId="1" shapeId="0" xr:uid="{098AFCE6-C282-43D5-92B1-EC24858D0482}">
      <text>
        <r>
          <rPr>
            <b/>
            <sz val="9"/>
            <color indexed="81"/>
            <rFont val="Tahoma"/>
            <family val="2"/>
          </rPr>
          <t>Mulcahy, Timothy (Tim):</t>
        </r>
        <r>
          <rPr>
            <sz val="9"/>
            <color indexed="81"/>
            <rFont val="Tahoma"/>
            <family val="2"/>
          </rPr>
          <t xml:space="preserve">
Identify systems that rely/use data from this app. Name should match the ServiceNow/APRM name for traceability</t>
        </r>
      </text>
    </comment>
    <comment ref="AV1" authorId="0" shapeId="0" xr:uid="{67255DAB-AB94-4E09-A919-537B9A53526C}">
      <text>
        <r>
          <rPr>
            <b/>
            <sz val="9"/>
            <color indexed="81"/>
            <rFont val="Tahoma"/>
            <family val="2"/>
          </rPr>
          <t>Huckel, Karina:</t>
        </r>
        <r>
          <rPr>
            <sz val="9"/>
            <color indexed="81"/>
            <rFont val="Tahoma"/>
            <family val="2"/>
          </rPr>
          <t xml:space="preserve">
From the big meeting, notes from the SEPM</t>
        </r>
      </text>
    </comment>
    <comment ref="AX1" authorId="0" shapeId="0" xr:uid="{648CDA06-C48B-467A-BD01-25F4975E0186}">
      <text>
        <r>
          <rPr>
            <b/>
            <sz val="9"/>
            <color indexed="81"/>
            <rFont val="Tahoma"/>
            <family val="2"/>
          </rPr>
          <t>Huckel, Karina:</t>
        </r>
        <r>
          <rPr>
            <sz val="9"/>
            <color indexed="81"/>
            <rFont val="Tahoma"/>
            <family val="2"/>
          </rPr>
          <t xml:space="preserve">
High level category</t>
        </r>
      </text>
    </comment>
    <comment ref="AZ1" authorId="0" shapeId="0" xr:uid="{B5650547-4BFF-48B2-898F-BD55CEABC242}">
      <text>
        <r>
          <rPr>
            <b/>
            <sz val="9"/>
            <color indexed="81"/>
            <rFont val="Tahoma"/>
            <family val="2"/>
          </rPr>
          <t>Huckel, Karina:</t>
        </r>
        <r>
          <rPr>
            <sz val="9"/>
            <color indexed="81"/>
            <rFont val="Tahoma"/>
            <family val="2"/>
          </rPr>
          <t xml:space="preserve">
Is S3 and Glacier the same?</t>
        </r>
      </text>
    </comment>
    <comment ref="BD1" authorId="0" shapeId="0" xr:uid="{D83A714F-60CF-4362-BF57-A787A0DD920E}">
      <text>
        <r>
          <rPr>
            <b/>
            <sz val="9"/>
            <color indexed="81"/>
            <rFont val="Tahoma"/>
            <family val="2"/>
          </rPr>
          <t>Huckel, Karina:</t>
        </r>
        <r>
          <rPr>
            <sz val="9"/>
            <color indexed="81"/>
            <rFont val="Tahoma"/>
            <family val="2"/>
          </rPr>
          <t xml:space="preserve">
Labor, NonLabor and Consumption Cost</t>
        </r>
      </text>
    </comment>
    <comment ref="D3" authorId="0" shapeId="0" xr:uid="{3FA5EF75-C26F-4422-AFD4-4964CB722095}">
      <text>
        <r>
          <rPr>
            <b/>
            <sz val="9"/>
            <color indexed="81"/>
            <rFont val="Tahoma"/>
            <family val="2"/>
          </rPr>
          <t>Huckel, Karina:</t>
        </r>
        <r>
          <rPr>
            <sz val="9"/>
            <color indexed="81"/>
            <rFont val="Tahoma"/>
            <family val="2"/>
          </rPr>
          <t xml:space="preserve">
Archival and retention dependencies need to be defined.</t>
        </r>
      </text>
    </comment>
    <comment ref="O3" authorId="0" shapeId="0" xr:uid="{6F26ECAF-02A0-4A2A-B729-F164F27F28D1}">
      <text>
        <r>
          <rPr>
            <b/>
            <sz val="9"/>
            <color indexed="81"/>
            <rFont val="Tahoma"/>
            <family val="2"/>
          </rPr>
          <t>Huckel, Karina:</t>
        </r>
        <r>
          <rPr>
            <sz val="9"/>
            <color indexed="81"/>
            <rFont val="Tahoma"/>
            <family val="2"/>
          </rPr>
          <t xml:space="preserve">
Archival and retention dependencies need to be defined.</t>
        </r>
      </text>
    </comment>
    <comment ref="D4" authorId="0" shapeId="0" xr:uid="{96F2BACB-ED58-4F29-879A-60C17E5565A9}">
      <text>
        <r>
          <rPr>
            <b/>
            <sz val="9"/>
            <color indexed="81"/>
            <rFont val="Tahoma"/>
            <family val="2"/>
          </rPr>
          <t>Huckel, Karina:</t>
        </r>
        <r>
          <rPr>
            <sz val="9"/>
            <color indexed="81"/>
            <rFont val="Tahoma"/>
            <family val="2"/>
          </rPr>
          <t xml:space="preserve">
Archival and retention dependencies need to be defined.</t>
        </r>
      </text>
    </comment>
    <comment ref="O4" authorId="0" shapeId="0" xr:uid="{2698F68F-BA80-4702-A3CF-16966B962F23}">
      <text>
        <r>
          <rPr>
            <b/>
            <sz val="9"/>
            <color indexed="81"/>
            <rFont val="Tahoma"/>
            <family val="2"/>
          </rPr>
          <t>Huckel, Karina:</t>
        </r>
        <r>
          <rPr>
            <sz val="9"/>
            <color indexed="81"/>
            <rFont val="Tahoma"/>
            <family val="2"/>
          </rPr>
          <t xml:space="preserve">
Archival and retention dependencies need to be defined.</t>
        </r>
      </text>
    </comment>
    <comment ref="D5" authorId="0" shapeId="0" xr:uid="{66E27841-63C6-43A6-979D-8D351FB82A3B}">
      <text>
        <r>
          <rPr>
            <b/>
            <sz val="9"/>
            <color indexed="81"/>
            <rFont val="Tahoma"/>
            <family val="2"/>
          </rPr>
          <t>Huckel, Karina:</t>
        </r>
        <r>
          <rPr>
            <sz val="9"/>
            <color indexed="81"/>
            <rFont val="Tahoma"/>
            <family val="2"/>
          </rPr>
          <t xml:space="preserve">
Archival and retention dependencies need to be defined.</t>
        </r>
      </text>
    </comment>
    <comment ref="O5" authorId="0" shapeId="0" xr:uid="{A5F6C5B1-36EF-48C1-90C0-4F8066D5CD20}">
      <text>
        <r>
          <rPr>
            <b/>
            <sz val="9"/>
            <color indexed="81"/>
            <rFont val="Tahoma"/>
            <family val="2"/>
          </rPr>
          <t>Huckel, Karina:</t>
        </r>
        <r>
          <rPr>
            <sz val="9"/>
            <color indexed="81"/>
            <rFont val="Tahoma"/>
            <family val="2"/>
          </rPr>
          <t xml:space="preserve">
Archival and retention dependencies need to be defined.</t>
        </r>
      </text>
    </comment>
    <comment ref="D6" authorId="0" shapeId="0" xr:uid="{79D36A94-4343-4CD4-91BF-8BE2D9AD0413}">
      <text>
        <r>
          <rPr>
            <b/>
            <sz val="9"/>
            <color indexed="81"/>
            <rFont val="Tahoma"/>
            <family val="2"/>
          </rPr>
          <t>Huckel, Karina:</t>
        </r>
        <r>
          <rPr>
            <sz val="9"/>
            <color indexed="81"/>
            <rFont val="Tahoma"/>
            <family val="2"/>
          </rPr>
          <t xml:space="preserve">
Archival and retention dependencies need to be defined.</t>
        </r>
      </text>
    </comment>
    <comment ref="O6" authorId="0" shapeId="0" xr:uid="{E74960FC-3EC5-4CB7-8FFC-7D48E90AD240}">
      <text>
        <r>
          <rPr>
            <b/>
            <sz val="9"/>
            <color indexed="81"/>
            <rFont val="Tahoma"/>
            <family val="2"/>
          </rPr>
          <t>Huckel, Karina:</t>
        </r>
        <r>
          <rPr>
            <sz val="9"/>
            <color indexed="81"/>
            <rFont val="Tahoma"/>
            <family val="2"/>
          </rPr>
          <t xml:space="preserve">
Archival and retention dependencies need to be defined.</t>
        </r>
      </text>
    </comment>
    <comment ref="D7" authorId="0" shapeId="0" xr:uid="{8E11EA10-8147-40D7-83CC-4E8772FD4119}">
      <text>
        <r>
          <rPr>
            <b/>
            <sz val="9"/>
            <color indexed="81"/>
            <rFont val="Tahoma"/>
            <family val="2"/>
          </rPr>
          <t>Huckel, Karina:</t>
        </r>
        <r>
          <rPr>
            <sz val="9"/>
            <color indexed="81"/>
            <rFont val="Tahoma"/>
            <family val="2"/>
          </rPr>
          <t xml:space="preserve">
Archival and retention dependencies need to be defined.</t>
        </r>
      </text>
    </comment>
    <comment ref="O7" authorId="0" shapeId="0" xr:uid="{23A482CC-590E-4F34-BF64-3DAFACD2F7AE}">
      <text>
        <r>
          <rPr>
            <b/>
            <sz val="9"/>
            <color indexed="81"/>
            <rFont val="Tahoma"/>
            <family val="2"/>
          </rPr>
          <t>Huckel, Karina:</t>
        </r>
        <r>
          <rPr>
            <sz val="9"/>
            <color indexed="81"/>
            <rFont val="Tahoma"/>
            <family val="2"/>
          </rPr>
          <t xml:space="preserve">
Archival and retention dependencies need to be defined.</t>
        </r>
      </text>
    </comment>
    <comment ref="D8" authorId="0" shapeId="0" xr:uid="{C720140A-C65C-4883-BA74-AA7E3E160B76}">
      <text>
        <r>
          <rPr>
            <b/>
            <sz val="9"/>
            <color indexed="81"/>
            <rFont val="Tahoma"/>
            <family val="2"/>
          </rPr>
          <t>Huckel, Karina:</t>
        </r>
        <r>
          <rPr>
            <sz val="9"/>
            <color indexed="81"/>
            <rFont val="Tahoma"/>
            <family val="2"/>
          </rPr>
          <t xml:space="preserve">
Archival and retention dependencies need to be defined.</t>
        </r>
      </text>
    </comment>
    <comment ref="O8" authorId="0" shapeId="0" xr:uid="{5CC2224B-CDC3-4640-99DA-808AC5CB7E77}">
      <text>
        <r>
          <rPr>
            <b/>
            <sz val="9"/>
            <color indexed="81"/>
            <rFont val="Tahoma"/>
            <family val="2"/>
          </rPr>
          <t>Huckel, Karina:</t>
        </r>
        <r>
          <rPr>
            <sz val="9"/>
            <color indexed="81"/>
            <rFont val="Tahoma"/>
            <family val="2"/>
          </rPr>
          <t xml:space="preserve">
Archival and retention dependencies need to be defined.</t>
        </r>
      </text>
    </comment>
    <comment ref="D9" authorId="0" shapeId="0" xr:uid="{227E6CB1-86B8-4561-A7DF-B3E1E70020F6}">
      <text>
        <r>
          <rPr>
            <b/>
            <sz val="9"/>
            <color indexed="81"/>
            <rFont val="Tahoma"/>
            <family val="2"/>
          </rPr>
          <t>Huckel, Karina:</t>
        </r>
        <r>
          <rPr>
            <sz val="9"/>
            <color indexed="81"/>
            <rFont val="Tahoma"/>
            <family val="2"/>
          </rPr>
          <t xml:space="preserve">
Archival and retention dependencies need to be defined.</t>
        </r>
      </text>
    </comment>
    <comment ref="O9" authorId="0" shapeId="0" xr:uid="{FA2762E1-6FB1-4D1E-BD23-6E60B8452282}">
      <text>
        <r>
          <rPr>
            <b/>
            <sz val="9"/>
            <color indexed="81"/>
            <rFont val="Tahoma"/>
            <family val="2"/>
          </rPr>
          <t>Huckel, Karina:</t>
        </r>
        <r>
          <rPr>
            <sz val="9"/>
            <color indexed="81"/>
            <rFont val="Tahoma"/>
            <family val="2"/>
          </rPr>
          <t xml:space="preserve">
Archival and retention dependencies need to be defined.</t>
        </r>
      </text>
    </comment>
    <comment ref="D10" authorId="0" shapeId="0" xr:uid="{7E657421-E0BB-4E00-B462-6B2D94476416}">
      <text>
        <r>
          <rPr>
            <b/>
            <sz val="9"/>
            <color indexed="81"/>
            <rFont val="Tahoma"/>
            <family val="2"/>
          </rPr>
          <t>Huckel, Karina:</t>
        </r>
        <r>
          <rPr>
            <sz val="9"/>
            <color indexed="81"/>
            <rFont val="Tahoma"/>
            <family val="2"/>
          </rPr>
          <t xml:space="preserve">
Archival and retention dependencies need to be defined.</t>
        </r>
      </text>
    </comment>
    <comment ref="O10" authorId="0" shapeId="0" xr:uid="{1DD351A9-0CB7-409E-8618-7B71398D83C4}">
      <text>
        <r>
          <rPr>
            <b/>
            <sz val="9"/>
            <color indexed="81"/>
            <rFont val="Tahoma"/>
            <family val="2"/>
          </rPr>
          <t>Huckel, Karina:</t>
        </r>
        <r>
          <rPr>
            <sz val="9"/>
            <color indexed="81"/>
            <rFont val="Tahoma"/>
            <family val="2"/>
          </rPr>
          <t xml:space="preserve">
Archival and retention dependencies need to be defined.</t>
        </r>
      </text>
    </comment>
    <comment ref="C12" authorId="0" shapeId="0" xr:uid="{ACA244C1-D9E0-45DD-8420-0BCA7135C50D}">
      <text>
        <r>
          <rPr>
            <b/>
            <sz val="9"/>
            <color indexed="81"/>
            <rFont val="Tahoma"/>
            <family val="2"/>
          </rPr>
          <t>Huckel, Karina:</t>
        </r>
        <r>
          <rPr>
            <sz val="9"/>
            <color indexed="81"/>
            <rFont val="Tahoma"/>
            <family val="2"/>
          </rPr>
          <t xml:space="preserve">
1/11/25: John indicates Decom</t>
        </r>
      </text>
    </comment>
    <comment ref="C14" authorId="0" shapeId="0" xr:uid="{BE12E8F1-5126-41F4-9024-7F46BF1B90BB}">
      <text>
        <r>
          <rPr>
            <b/>
            <sz val="9"/>
            <color indexed="81"/>
            <rFont val="Tahoma"/>
            <family val="2"/>
          </rPr>
          <t>Huckel, Karina:</t>
        </r>
        <r>
          <rPr>
            <sz val="9"/>
            <color indexed="81"/>
            <rFont val="Tahoma"/>
            <family val="2"/>
          </rPr>
          <t xml:space="preserve">
1/11/25: John indcated decom</t>
        </r>
      </text>
    </comment>
    <comment ref="C15" authorId="0" shapeId="0" xr:uid="{5B59EE85-647C-405A-917E-72B23F3C59BA}">
      <text>
        <r>
          <rPr>
            <b/>
            <sz val="9"/>
            <color indexed="81"/>
            <rFont val="Tahoma"/>
            <family val="2"/>
          </rPr>
          <t>Huckel, Karina:</t>
        </r>
        <r>
          <rPr>
            <sz val="9"/>
            <color indexed="81"/>
            <rFont val="Tahoma"/>
            <family val="2"/>
          </rPr>
          <t xml:space="preserve">
1/11/25: John indicates Go Forward until BONDS move off MF</t>
        </r>
      </text>
    </comment>
    <comment ref="AZ16" authorId="0" shapeId="0" xr:uid="{30C85746-43BE-4FAE-8BB0-360EA652FEC5}">
      <text>
        <r>
          <rPr>
            <b/>
            <sz val="9"/>
            <color indexed="81"/>
            <rFont val="Tahoma"/>
            <family val="2"/>
          </rPr>
          <t>Huckel, Karina:</t>
        </r>
        <r>
          <rPr>
            <sz val="9"/>
            <color indexed="81"/>
            <rFont val="Tahoma"/>
            <family val="2"/>
          </rPr>
          <t xml:space="preserve">
Need further discussion</t>
        </r>
      </text>
    </comment>
    <comment ref="BA16" authorId="0" shapeId="0" xr:uid="{D2D5002E-C7E1-4471-AD28-2828C423CF9F}">
      <text>
        <r>
          <rPr>
            <b/>
            <sz val="9"/>
            <color indexed="81"/>
            <rFont val="Tahoma"/>
            <family val="2"/>
          </rPr>
          <t>Huckel, Karina:</t>
        </r>
        <r>
          <rPr>
            <sz val="9"/>
            <color indexed="81"/>
            <rFont val="Tahoma"/>
            <family val="2"/>
          </rPr>
          <t xml:space="preserve">
Need further discussion</t>
        </r>
      </text>
    </comment>
    <comment ref="C17" authorId="0" shapeId="0" xr:uid="{0B7490AD-298A-453F-9926-FD4DFAAE72F1}">
      <text>
        <r>
          <rPr>
            <b/>
            <sz val="9"/>
            <color indexed="81"/>
            <rFont val="Tahoma"/>
            <family val="2"/>
          </rPr>
          <t>Huckel, Karina:</t>
        </r>
        <r>
          <rPr>
            <sz val="9"/>
            <color indexed="81"/>
            <rFont val="Tahoma"/>
            <family val="2"/>
          </rPr>
          <t xml:space="preserve">
No new business and renewals, shut down by the end of 2025.
Changing algorhytms to calculate the premium.  We need to discuss the risk of taking this down vs just leaving it up.
After WC Rate Reviews are complete, then this could be shut down.</t>
        </r>
      </text>
    </comment>
    <comment ref="AI17" authorId="0" shapeId="0" xr:uid="{CB826AE3-A593-4932-B505-33DA74065EBA}">
      <text>
        <r>
          <rPr>
            <b/>
            <sz val="9"/>
            <color indexed="81"/>
            <rFont val="Tahoma"/>
            <family val="2"/>
          </rPr>
          <t>Huckel, Karina:</t>
        </r>
        <r>
          <rPr>
            <sz val="9"/>
            <color indexed="81"/>
            <rFont val="Tahoma"/>
            <family val="2"/>
          </rPr>
          <t xml:space="preserve">
Needs analysis</t>
        </r>
      </text>
    </comment>
    <comment ref="AJ17" authorId="0" shapeId="0" xr:uid="{B1BAFC15-9FB9-4A34-8C41-620746D33A4C}">
      <text>
        <r>
          <rPr>
            <b/>
            <sz val="9"/>
            <color indexed="81"/>
            <rFont val="Tahoma"/>
            <family val="2"/>
          </rPr>
          <t>Huckel, Karina:</t>
        </r>
        <r>
          <rPr>
            <sz val="9"/>
            <color indexed="81"/>
            <rFont val="Tahoma"/>
            <family val="2"/>
          </rPr>
          <t xml:space="preserve">
Need to evaluate</t>
        </r>
      </text>
    </comment>
    <comment ref="AO17" authorId="0" shapeId="0" xr:uid="{6206396D-F18B-4958-8011-B1951A3B45E9}">
      <text>
        <r>
          <rPr>
            <b/>
            <sz val="9"/>
            <color indexed="81"/>
            <rFont val="Tahoma"/>
            <family val="2"/>
          </rPr>
          <t>Huckel, Karina:</t>
        </r>
        <r>
          <rPr>
            <sz val="9"/>
            <color indexed="81"/>
            <rFont val="Tahoma"/>
            <family val="2"/>
          </rPr>
          <t xml:space="preserve">
Need to evaluate</t>
        </r>
      </text>
    </comment>
    <comment ref="AP17" authorId="0" shapeId="0" xr:uid="{87017ABC-5AB3-4DDF-AA64-BE87809872AD}">
      <text>
        <r>
          <rPr>
            <b/>
            <sz val="9"/>
            <color indexed="81"/>
            <rFont val="Tahoma"/>
            <family val="2"/>
          </rPr>
          <t>Huckel, Karina:</t>
        </r>
        <r>
          <rPr>
            <sz val="9"/>
            <color indexed="81"/>
            <rFont val="Tahoma"/>
            <family val="2"/>
          </rPr>
          <t xml:space="preserve">
Need to evaluate</t>
        </r>
      </text>
    </comment>
    <comment ref="BA17" authorId="0" shapeId="0" xr:uid="{1BF0653C-B5F3-4ADF-87D5-4C7D59BE4910}">
      <text>
        <r>
          <rPr>
            <b/>
            <sz val="9"/>
            <color indexed="81"/>
            <rFont val="Tahoma"/>
            <family val="2"/>
          </rPr>
          <t>Huckel, Karina:</t>
        </r>
        <r>
          <rPr>
            <sz val="9"/>
            <color indexed="81"/>
            <rFont val="Tahoma"/>
            <family val="2"/>
          </rPr>
          <t xml:space="preserve">
Need to evaluate</t>
        </r>
      </text>
    </comment>
    <comment ref="C18" authorId="0" shapeId="0" xr:uid="{B40D7944-63FC-46DE-AAB7-04D5C63EA8B7}">
      <text>
        <r>
          <rPr>
            <b/>
            <sz val="9"/>
            <color indexed="81"/>
            <rFont val="Tahoma"/>
            <family val="2"/>
          </rPr>
          <t>Huckel, Karina:</t>
        </r>
        <r>
          <rPr>
            <sz val="9"/>
            <color indexed="81"/>
            <rFont val="Tahoma"/>
            <family val="2"/>
          </rPr>
          <t xml:space="preserve">
1/11/25: Jamie indicates decom</t>
        </r>
      </text>
    </comment>
    <comment ref="C20" authorId="0" shapeId="0" xr:uid="{EF2B0504-98AE-402F-9910-0D0E0F003B62}">
      <text>
        <r>
          <rPr>
            <b/>
            <sz val="9"/>
            <color indexed="81"/>
            <rFont val="Tahoma"/>
            <family val="2"/>
          </rPr>
          <t>Huckel, Karina:</t>
        </r>
        <r>
          <rPr>
            <sz val="9"/>
            <color indexed="81"/>
            <rFont val="Tahoma"/>
            <family val="2"/>
          </rPr>
          <t xml:space="preserve">
1/11/25: John indcated decom</t>
        </r>
      </text>
    </comment>
    <comment ref="C21" authorId="0" shapeId="0" xr:uid="{8405E029-A77C-4FD9-A672-19B64161DA37}">
      <text>
        <r>
          <rPr>
            <b/>
            <sz val="9"/>
            <color indexed="81"/>
            <rFont val="Tahoma"/>
            <family val="2"/>
          </rPr>
          <t>Huckel, Karina:</t>
        </r>
        <r>
          <rPr>
            <sz val="9"/>
            <color indexed="81"/>
            <rFont val="Tahoma"/>
            <family val="2"/>
          </rPr>
          <t xml:space="preserve">
1/11/25: John indcated decom</t>
        </r>
      </text>
    </comment>
    <comment ref="D28" authorId="0" shapeId="0" xr:uid="{E15EF276-820C-4D74-A245-0651DD4CF9C3}">
      <text>
        <r>
          <rPr>
            <b/>
            <sz val="9"/>
            <color indexed="81"/>
            <rFont val="Tahoma"/>
            <family val="2"/>
          </rPr>
          <t>Huckel, Karina:</t>
        </r>
        <r>
          <rPr>
            <sz val="9"/>
            <color indexed="81"/>
            <rFont val="Tahoma"/>
            <family val="2"/>
          </rPr>
          <t xml:space="preserve">
All MF will come down at the same.</t>
        </r>
      </text>
    </comment>
    <comment ref="O28" authorId="0" shapeId="0" xr:uid="{52ABCEAE-CDE0-403C-9BBF-E283DCF1D5EA}">
      <text>
        <r>
          <rPr>
            <b/>
            <sz val="9"/>
            <color indexed="81"/>
            <rFont val="Tahoma"/>
            <family val="2"/>
          </rPr>
          <t>Huckel, Karina:</t>
        </r>
        <r>
          <rPr>
            <sz val="9"/>
            <color indexed="81"/>
            <rFont val="Tahoma"/>
            <family val="2"/>
          </rPr>
          <t xml:space="preserve">
All MF will come down at the same.</t>
        </r>
      </text>
    </comment>
    <comment ref="AP28" authorId="0" shapeId="0" xr:uid="{CDAA1939-D311-4D05-B791-D6E5A6E3D3EA}">
      <text>
        <r>
          <rPr>
            <b/>
            <sz val="9"/>
            <color indexed="81"/>
            <rFont val="Tahoma"/>
            <family val="2"/>
          </rPr>
          <t>Huckel, Karina:</t>
        </r>
        <r>
          <rPr>
            <sz val="9"/>
            <color indexed="81"/>
            <rFont val="Tahoma"/>
            <family val="2"/>
          </rPr>
          <t xml:space="preserve">
Needs discussion with Hercules
MF - open question on VSAM</t>
        </r>
      </text>
    </comment>
    <comment ref="BD28" authorId="0" shapeId="0" xr:uid="{F81C92FA-CE97-43F4-8095-21EE22120E9F}">
      <text>
        <r>
          <rPr>
            <b/>
            <sz val="9"/>
            <color indexed="81"/>
            <rFont val="Tahoma"/>
            <family val="2"/>
          </rPr>
          <t>Huckel, Karina:</t>
        </r>
        <r>
          <rPr>
            <sz val="9"/>
            <color indexed="81"/>
            <rFont val="Tahoma"/>
            <family val="2"/>
          </rPr>
          <t xml:space="preserve">
Colleen to break down high level and provide a number.</t>
        </r>
      </text>
    </comment>
    <comment ref="D29" authorId="0" shapeId="0" xr:uid="{6F69E7EF-9A10-4486-8EC1-AA2681A8582F}">
      <text>
        <r>
          <rPr>
            <b/>
            <sz val="9"/>
            <color indexed="81"/>
            <rFont val="Tahoma"/>
            <family val="2"/>
          </rPr>
          <t>Huckel, Karina:</t>
        </r>
        <r>
          <rPr>
            <sz val="9"/>
            <color indexed="81"/>
            <rFont val="Tahoma"/>
            <family val="2"/>
          </rPr>
          <t xml:space="preserve">
All MF will come down at the same.</t>
        </r>
      </text>
    </comment>
    <comment ref="O34" authorId="0" shapeId="0" xr:uid="{F48F9352-354C-408D-9549-0FCFDA770B27}">
      <text>
        <r>
          <rPr>
            <b/>
            <sz val="9"/>
            <color indexed="81"/>
            <rFont val="Tahoma"/>
            <family val="2"/>
          </rPr>
          <t>Huckel, Karina:</t>
        </r>
        <r>
          <rPr>
            <sz val="9"/>
            <color indexed="81"/>
            <rFont val="Tahoma"/>
            <family val="2"/>
          </rPr>
          <t xml:space="preserve">
Need to validate correct date</t>
        </r>
      </text>
    </comment>
    <comment ref="AP36" authorId="0" shapeId="0" xr:uid="{7E5029D1-5D96-4846-96F4-06F063E3A19E}">
      <text>
        <r>
          <rPr>
            <b/>
            <sz val="9"/>
            <color indexed="81"/>
            <rFont val="Tahoma"/>
            <family val="2"/>
          </rPr>
          <t>Huckel, Karina:</t>
        </r>
        <r>
          <rPr>
            <sz val="9"/>
            <color indexed="81"/>
            <rFont val="Tahoma"/>
            <family val="2"/>
          </rPr>
          <t xml:space="preserve">
Add as TBD</t>
        </r>
      </text>
    </comment>
    <comment ref="AJ37" authorId="0" shapeId="0" xr:uid="{5EBF69ED-F96D-46DB-90B4-001BBCDCC5CA}">
      <text>
        <r>
          <rPr>
            <b/>
            <sz val="9"/>
            <color indexed="81"/>
            <rFont val="Tahoma"/>
            <family val="2"/>
          </rPr>
          <t>Huckel, Karina:</t>
        </r>
        <r>
          <rPr>
            <sz val="9"/>
            <color indexed="81"/>
            <rFont val="Tahoma"/>
            <family val="2"/>
          </rPr>
          <t xml:space="preserve">
No longer have Zoom</t>
        </r>
      </text>
    </comment>
    <comment ref="D38" authorId="0" shapeId="0" xr:uid="{4D3EFC86-23B2-4CCC-849A-8AE5029F98C5}">
      <text>
        <r>
          <rPr>
            <b/>
            <sz val="9"/>
            <color indexed="81"/>
            <rFont val="Tahoma"/>
            <family val="2"/>
          </rPr>
          <t>Huckel, Karina:</t>
        </r>
        <r>
          <rPr>
            <sz val="9"/>
            <color indexed="81"/>
            <rFont val="Tahoma"/>
            <family val="2"/>
          </rPr>
          <t xml:space="preserve">
Dependency on Claims archival approach and Loss Run reports.  Moving from 7/1/25 to 4/1/27</t>
        </r>
      </text>
    </comment>
    <comment ref="E42" authorId="0" shapeId="0" xr:uid="{828943AA-6DF0-4EDD-86F6-0B8EB8D99A0C}">
      <text>
        <r>
          <rPr>
            <b/>
            <sz val="9"/>
            <color indexed="81"/>
            <rFont val="Tahoma"/>
            <family val="2"/>
          </rPr>
          <t>Huckel, Karina:</t>
        </r>
        <r>
          <rPr>
            <sz val="9"/>
            <color indexed="81"/>
            <rFont val="Tahoma"/>
            <family val="2"/>
          </rPr>
          <t xml:space="preserve">
Need Terry to validate</t>
        </r>
      </text>
    </comment>
    <comment ref="AI45" authorId="0" shapeId="0" xr:uid="{A9D4D6F9-B32A-4BC4-9EEF-777372B9A331}">
      <text>
        <r>
          <rPr>
            <b/>
            <sz val="9"/>
            <color indexed="81"/>
            <rFont val="Tahoma"/>
            <family val="2"/>
          </rPr>
          <t>Huckel, Karina:</t>
        </r>
        <r>
          <rPr>
            <sz val="9"/>
            <color indexed="81"/>
            <rFont val="Tahoma"/>
            <family val="2"/>
          </rPr>
          <t xml:space="preserve">
Account level data</t>
        </r>
      </text>
    </comment>
    <comment ref="AG46" authorId="0" shapeId="0" xr:uid="{5434FBA4-4214-40BB-B1E4-08366B3EFE07}">
      <text>
        <r>
          <rPr>
            <b/>
            <sz val="9"/>
            <color indexed="81"/>
            <rFont val="Tahoma"/>
            <family val="2"/>
          </rPr>
          <t>Huckel, Karina:</t>
        </r>
        <r>
          <rPr>
            <sz val="9"/>
            <color indexed="81"/>
            <rFont val="Tahoma"/>
            <family val="2"/>
          </rPr>
          <t xml:space="preserve">
HV-AQS</t>
        </r>
      </text>
    </comment>
    <comment ref="AI46" authorId="0" shapeId="0" xr:uid="{226A3B7C-913E-4BF7-84F4-4603F634B439}">
      <text>
        <r>
          <rPr>
            <b/>
            <sz val="9"/>
            <color indexed="81"/>
            <rFont val="Tahoma"/>
            <family val="2"/>
          </rPr>
          <t>Huckel, Karina:</t>
        </r>
        <r>
          <rPr>
            <sz val="9"/>
            <color indexed="81"/>
            <rFont val="Tahoma"/>
            <family val="2"/>
          </rPr>
          <t xml:space="preserve">
Ok to archive to Imageright or archive to tool</t>
        </r>
      </text>
    </comment>
    <comment ref="AJ47" authorId="0" shapeId="0" xr:uid="{25DA616B-689F-4ACC-9917-DA573222CFE7}">
      <text>
        <r>
          <rPr>
            <b/>
            <sz val="9"/>
            <color indexed="81"/>
            <rFont val="Tahoma"/>
            <family val="2"/>
          </rPr>
          <t>Huckel, Karina:</t>
        </r>
        <r>
          <rPr>
            <sz val="9"/>
            <color indexed="81"/>
            <rFont val="Tahoma"/>
            <family val="2"/>
          </rPr>
          <t xml:space="preserve">
AQS Source Code</t>
        </r>
      </text>
    </comment>
    <comment ref="BF48" authorId="0" shapeId="0" xr:uid="{02AC3E4A-8A91-451D-AC01-C9C955206DC9}">
      <text>
        <r>
          <rPr>
            <b/>
            <sz val="9"/>
            <color indexed="81"/>
            <rFont val="Tahoma"/>
            <family val="2"/>
          </rPr>
          <t>Huckel, Karina:</t>
        </r>
        <r>
          <rPr>
            <sz val="9"/>
            <color indexed="81"/>
            <rFont val="Tahoma"/>
            <family val="2"/>
          </rPr>
          <t xml:space="preserve">
Dependency on Experen</t>
        </r>
      </text>
    </comment>
    <comment ref="B57" authorId="0" shapeId="0" xr:uid="{1B8A08A6-6C1C-4F6E-9145-C2D5F0E842B4}">
      <text>
        <r>
          <rPr>
            <b/>
            <sz val="9"/>
            <color indexed="81"/>
            <rFont val="Tahoma"/>
            <family val="2"/>
          </rPr>
          <t>Huckel, Karina:</t>
        </r>
        <r>
          <rPr>
            <sz val="9"/>
            <color indexed="81"/>
            <rFont val="Tahoma"/>
            <family val="2"/>
          </rPr>
          <t xml:space="preserve">
Terry to review with Laurie Berness</t>
        </r>
      </text>
    </comment>
    <comment ref="AL66" authorId="0" shapeId="0" xr:uid="{AED5DDE4-F160-4EDE-8F17-8700A91FD6CC}">
      <text>
        <r>
          <rPr>
            <b/>
            <sz val="9"/>
            <color indexed="81"/>
            <rFont val="Tahoma"/>
            <family val="2"/>
          </rPr>
          <t>Huckel, Karina:</t>
        </r>
        <r>
          <rPr>
            <sz val="9"/>
            <color indexed="81"/>
            <rFont val="Tahoma"/>
            <family val="2"/>
          </rPr>
          <t xml:space="preserve">
new user, batch runs to update accesses to grant security role in AQS</t>
        </r>
      </text>
    </comment>
    <comment ref="BF67" authorId="0" shapeId="0" xr:uid="{B97E983D-9B56-40EB-BC99-8C51A8D18D6E}">
      <text>
        <r>
          <rPr>
            <b/>
            <sz val="9"/>
            <color indexed="81"/>
            <rFont val="Tahoma"/>
            <family val="2"/>
          </rPr>
          <t>Huckel, Karina:</t>
        </r>
        <r>
          <rPr>
            <sz val="9"/>
            <color indexed="81"/>
            <rFont val="Tahoma"/>
            <family val="2"/>
          </rPr>
          <t xml:space="preserve">
Infragistics related contract was not renewed.</t>
        </r>
      </text>
    </comment>
    <comment ref="AI69" authorId="0" shapeId="0" xr:uid="{6FA2A0E9-6CF5-4DDF-A439-9E4227C838BB}">
      <text>
        <r>
          <rPr>
            <b/>
            <sz val="9"/>
            <color indexed="81"/>
            <rFont val="Tahoma"/>
            <family val="2"/>
          </rPr>
          <t>Huckel, Karina:</t>
        </r>
        <r>
          <rPr>
            <sz val="9"/>
            <color indexed="81"/>
            <rFont val="Tahoma"/>
            <family val="2"/>
          </rPr>
          <t xml:space="preserve">
Terry to follow up</t>
        </r>
      </text>
    </comment>
    <comment ref="AL72" authorId="0" shapeId="0" xr:uid="{A8907FFF-7096-41EC-AC5D-741E4BC3E605}">
      <text>
        <r>
          <rPr>
            <b/>
            <sz val="9"/>
            <color indexed="81"/>
            <rFont val="Tahoma"/>
            <family val="2"/>
          </rPr>
          <t>Huckel, Karina:</t>
        </r>
        <r>
          <rPr>
            <sz val="9"/>
            <color indexed="81"/>
            <rFont val="Tahoma"/>
            <family val="2"/>
          </rPr>
          <t xml:space="preserve">
within itself an API</t>
        </r>
      </text>
    </comment>
    <comment ref="AG77" authorId="0" shapeId="0" xr:uid="{D1057197-F572-4614-97BD-DE37E3839F8C}">
      <text>
        <r>
          <rPr>
            <b/>
            <sz val="9"/>
            <color indexed="81"/>
            <rFont val="Tahoma"/>
            <family val="2"/>
          </rPr>
          <t>Huckel, Karina:</t>
        </r>
        <r>
          <rPr>
            <sz val="9"/>
            <color indexed="81"/>
            <rFont val="Tahoma"/>
            <family val="2"/>
          </rPr>
          <t xml:space="preserve">
HV-AQS</t>
        </r>
      </text>
    </comment>
    <comment ref="AG78" authorId="0" shapeId="0" xr:uid="{15F85786-4639-463D-80D7-FE60B01ED2F4}">
      <text>
        <r>
          <rPr>
            <b/>
            <sz val="9"/>
            <color indexed="81"/>
            <rFont val="Tahoma"/>
            <family val="2"/>
          </rPr>
          <t>Huckel, Karina:</t>
        </r>
        <r>
          <rPr>
            <sz val="9"/>
            <color indexed="81"/>
            <rFont val="Tahoma"/>
            <family val="2"/>
          </rPr>
          <t xml:space="preserve">
HV-AQS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<sst xmlns="http://schemas.openxmlformats.org/spreadsheetml/2006/main" count="11687" uniqueCount="1760">
  <si>
    <t>Category -&gt;</t>
  </si>
  <si>
    <t>General (Business &amp; Functional)</t>
  </si>
  <si>
    <t>Risk</t>
  </si>
  <si>
    <t>Application Dependency</t>
  </si>
  <si>
    <t>Data</t>
  </si>
  <si>
    <t>Compliance</t>
  </si>
  <si>
    <t>Operation</t>
  </si>
  <si>
    <t>Infra</t>
  </si>
  <si>
    <t>Third party/vendor</t>
  </si>
  <si>
    <t>Financial</t>
  </si>
  <si>
    <t>Questions -&gt;</t>
  </si>
  <si>
    <t>Application ID</t>
  </si>
  <si>
    <t xml:space="preserve">Not present in master sheet </t>
  </si>
  <si>
    <t>Application Name</t>
  </si>
  <si>
    <t>Application Description</t>
  </si>
  <si>
    <t xml:space="preserve">Line of Business - application type </t>
  </si>
  <si>
    <t>App Legacy Suite in NW context</t>
  </si>
  <si>
    <t>App Owner - Name</t>
  </si>
  <si>
    <t>Business Owner - Name</t>
  </si>
  <si>
    <t xml:space="preserve">Information Filled in by (Name)  tech lead
 </t>
  </si>
  <si>
    <t>Is the application in-house developed or a 3rd Party product / COTS product?</t>
  </si>
  <si>
    <t>Application Category</t>
  </si>
  <si>
    <t>Application Type</t>
  </si>
  <si>
    <t>Is this application / product in scope for decommissioning ? 
       C Column from master</t>
  </si>
  <si>
    <t>What is the Target Decommissioning date?</t>
  </si>
  <si>
    <t>Is this application being decommissioned due to non-usage by business or because of modernization? If any other reason, please provide details</t>
  </si>
  <si>
    <t>Tech stack of the application
      BG Column from master</t>
  </si>
  <si>
    <t>Business Criticality of the application? (Based on the biz. Processes involved)</t>
  </si>
  <si>
    <t>Size of the application based on Lines of Code (LoC)</t>
  </si>
  <si>
    <t>What is database of the application
  AE Column from master</t>
  </si>
  <si>
    <t>Database/Data Store description; Type of data</t>
  </si>
  <si>
    <t>Point of Arrival (POA) / Target Application Name</t>
  </si>
  <si>
    <t>Point of Arrival (POA)/ Target Application  readiness date</t>
  </si>
  <si>
    <t>Is this application active or isolated in current portfolio of Nationwide?</t>
  </si>
  <si>
    <t>What is the age of this application?</t>
  </si>
  <si>
    <t>Minimum expected life for the application / product?</t>
  </si>
  <si>
    <t xml:space="preserve">Does this application handles any Legal Compliances /Audit requirement on its own? </t>
  </si>
  <si>
    <t>Does this Application interface with any other application which satisfy regulatory compliance need?</t>
  </si>
  <si>
    <t>Revenue /user impact if this application is down?</t>
  </si>
  <si>
    <t xml:space="preserve">Is this a single application or a group of applications? </t>
  </si>
  <si>
    <t>Access - Batch/Bulk
&lt;NW Context. Ask for clarity&gt;</t>
  </si>
  <si>
    <t>Does the application  have connectivity with external application (applications outside the customer landscape)?</t>
  </si>
  <si>
    <t>Do external applications (applications outside the customer landscape) access data directly or via APIs from this applications' / business functions' database?</t>
  </si>
  <si>
    <t xml:space="preserve">Names of Incoming Internal Dependent Applications </t>
  </si>
  <si>
    <t>Count of Incoming Interfaces from other applications</t>
  </si>
  <si>
    <t xml:space="preserve">List the incoming type of interface  (FTP, DB calls, MQ, API, any other) </t>
  </si>
  <si>
    <t xml:space="preserve">Names of Outgoing Dependent Applications </t>
  </si>
  <si>
    <t>No. of Outgoing Interfaces to other applications</t>
  </si>
  <si>
    <t xml:space="preserve">List the outgoing type of interface  (FTP, DB calls, MQ, API, any other) </t>
  </si>
  <si>
    <t>No. of reports and their frequency this application generates</t>
  </si>
  <si>
    <t>Size of the current database</t>
  </si>
  <si>
    <t>Application data is owned by?</t>
  </si>
  <si>
    <t>Does this application have pre-archived (historical) data?</t>
  </si>
  <si>
    <t>How long the historical data need to be maintained as per regulations?
   AJ Column from master</t>
  </si>
  <si>
    <t>Does this application have pre-archived (historical) data? 
Replacement of AQ column from this sheet and  AI Column from master</t>
  </si>
  <si>
    <t>Database backup frequency</t>
  </si>
  <si>
    <t>Is there a pre- defined data purge policy?</t>
  </si>
  <si>
    <t>Preferred Data treatment Option</t>
  </si>
  <si>
    <t>What is the SLA slab for retrieving the archived data?</t>
  </si>
  <si>
    <t>What is the SLA slab for retrieving historical data?</t>
  </si>
  <si>
    <t>Is there any source code archival policy for this application (Not the data archival).</t>
  </si>
  <si>
    <t>Period for advance notice to the Technology Owners (Infrastructure team, DR team) reg. shutting down this application?</t>
  </si>
  <si>
    <t>What is the hardware / software release procedure and communication model at Nationwide?</t>
  </si>
  <si>
    <t>No. of internal users of this application</t>
  </si>
  <si>
    <t>No. of external users of this application</t>
  </si>
  <si>
    <t>Are there any timeframe defined to migrate the existing external users / customers to access the new application before shutting down this application? If yes, what is the defined timeframe?</t>
  </si>
  <si>
    <t>Are there any ongoing projects (enhancement/changes) in this application?</t>
  </si>
  <si>
    <t xml:space="preserve">Level of documentation for this application  </t>
  </si>
  <si>
    <t>What is the level of app team's knowledge on the application?</t>
  </si>
  <si>
    <t>What is the support level rendered to this application? (Shared team /Dedicated team)</t>
  </si>
  <si>
    <t>What are the FTE &amp; Contractor count for production support &amp; maintenance for this application?</t>
  </si>
  <si>
    <t>Does this application use shared or dedicated server?</t>
  </si>
  <si>
    <t xml:space="preserve">Count of application servers </t>
  </si>
  <si>
    <t>Count of data servers</t>
  </si>
  <si>
    <t>Number of other applications sharing the same server with this application</t>
  </si>
  <si>
    <t>Provide all the Third party tools used by this application</t>
  </si>
  <si>
    <t xml:space="preserve">License renewal period for the tools being used by this application </t>
  </si>
  <si>
    <t>Any legal agreements between the tool vendors / hardware vendors and client</t>
  </si>
  <si>
    <t>Monthly application run cost in USD</t>
  </si>
  <si>
    <t>Guidelines -&gt;</t>
  </si>
  <si>
    <r>
      <rPr>
        <b/>
        <sz val="10"/>
        <rFont val="Ubuntu"/>
        <family val="2"/>
      </rPr>
      <t>&lt;Free Text&gt;</t>
    </r>
    <r>
      <rPr>
        <sz val="10"/>
        <rFont val="Ubuntu"/>
        <family val="2"/>
      </rPr>
      <t xml:space="preserve">
Enter your Application ID</t>
    </r>
  </si>
  <si>
    <r>
      <rPr>
        <b/>
        <sz val="10"/>
        <rFont val="Ubuntu"/>
        <family val="2"/>
      </rPr>
      <t>&lt;Free Text&gt;</t>
    </r>
    <r>
      <rPr>
        <sz val="10"/>
        <rFont val="Ubuntu"/>
        <family val="2"/>
      </rPr>
      <t xml:space="preserve">
Enter the name of application</t>
    </r>
  </si>
  <si>
    <r>
      <rPr>
        <b/>
        <sz val="10"/>
        <rFont val="Ubuntu"/>
        <family val="2"/>
      </rPr>
      <t>&lt;Free Text&gt;</t>
    </r>
    <r>
      <rPr>
        <sz val="10"/>
        <rFont val="Ubuntu"/>
        <family val="2"/>
      </rPr>
      <t xml:space="preserve">
Enter description of your application in a few lines</t>
    </r>
  </si>
  <si>
    <r>
      <rPr>
        <b/>
        <sz val="10"/>
        <rFont val="Ubuntu"/>
        <family val="2"/>
      </rPr>
      <t xml:space="preserve">&lt;Free Text&gt;
</t>
    </r>
    <r>
      <rPr>
        <sz val="10"/>
        <rFont val="Ubuntu"/>
        <family val="2"/>
      </rPr>
      <t xml:space="preserve">Which business area does the application belong to </t>
    </r>
  </si>
  <si>
    <r>
      <rPr>
        <b/>
        <sz val="10"/>
        <rFont val="Ubuntu"/>
        <family val="2"/>
      </rPr>
      <t xml:space="preserve">&lt;Free Text&gt;
</t>
    </r>
    <r>
      <rPr>
        <sz val="10"/>
        <rFont val="Ubuntu"/>
        <family val="2"/>
      </rPr>
      <t>Please mention whether the application is from PCIO or HV</t>
    </r>
  </si>
  <si>
    <r>
      <rPr>
        <b/>
        <sz val="10"/>
        <rFont val="Ubuntu"/>
        <family val="2"/>
      </rPr>
      <t xml:space="preserve">&lt;Free Text&gt;
</t>
    </r>
    <r>
      <rPr>
        <sz val="10"/>
        <rFont val="Ubuntu"/>
        <family val="2"/>
      </rPr>
      <t>Name of the designated owner accountable for the application.</t>
    </r>
  </si>
  <si>
    <r>
      <rPr>
        <b/>
        <sz val="10"/>
        <rFont val="Ubuntu"/>
        <family val="2"/>
      </rPr>
      <t xml:space="preserve">&lt;Free Text&gt;
</t>
    </r>
    <r>
      <rPr>
        <sz val="10"/>
        <rFont val="Ubuntu"/>
        <family val="2"/>
      </rPr>
      <t>Name of the business owner accountable for the application.</t>
    </r>
  </si>
  <si>
    <r>
      <rPr>
        <b/>
        <sz val="10"/>
        <rFont val="Ubuntu"/>
        <family val="2"/>
      </rPr>
      <t>&lt;Free Text&gt;</t>
    </r>
    <r>
      <rPr>
        <sz val="10"/>
        <rFont val="Ubuntu"/>
        <family val="2"/>
      </rPr>
      <t xml:space="preserve">
Name of the App tech SME completing this questionnaire</t>
    </r>
  </si>
  <si>
    <r>
      <t>&lt;Free text&gt;</t>
    </r>
    <r>
      <rPr>
        <sz val="10"/>
        <rFont val="Ubuntu"/>
        <family val="2"/>
      </rPr>
      <t xml:space="preserve">
Whether the app is custom developed, acquired, 3rd Party product or COTS product?</t>
    </r>
  </si>
  <si>
    <r>
      <rPr>
        <b/>
        <sz val="10"/>
        <rFont val="Ubuntu"/>
        <family val="2"/>
      </rPr>
      <t xml:space="preserve">&lt;Select from Drop-Down&gt;
</t>
    </r>
    <r>
      <rPr>
        <sz val="10"/>
        <rFont val="Ubuntu"/>
        <family val="2"/>
      </rPr>
      <t>Front end, Back end, Both</t>
    </r>
  </si>
  <si>
    <r>
      <rPr>
        <b/>
        <sz val="10"/>
        <rFont val="Ubuntu"/>
        <family val="2"/>
      </rPr>
      <t>&lt;Free text&gt;</t>
    </r>
    <r>
      <rPr>
        <sz val="10"/>
        <rFont val="Ubuntu"/>
        <family val="2"/>
      </rPr>
      <t xml:space="preserve">
E.g. Web Service, Desktop, Legacy application, IT Service, 
Infrastructure Service,
Utility, 3rd Party</t>
    </r>
  </si>
  <si>
    <r>
      <t xml:space="preserve">&lt;Free text&gt;
</t>
    </r>
    <r>
      <rPr>
        <sz val="10"/>
        <rFont val="Ubuntu"/>
        <family val="2"/>
      </rPr>
      <t>E.g. Yes/No/Already decommissioned/Decommissioning in progress</t>
    </r>
  </si>
  <si>
    <t>&lt;Free text&gt;</t>
  </si>
  <si>
    <t>&lt;Free Text&gt;</t>
  </si>
  <si>
    <r>
      <t xml:space="preserve">&lt;Free Text&gt;
</t>
    </r>
    <r>
      <rPr>
        <sz val="10"/>
        <rFont val="Ubuntu"/>
        <family val="2"/>
      </rPr>
      <t>(e.g., Mainframe COBOL, AS400, Java VB, DB2, C on Mainframes, .NET, SAP)</t>
    </r>
  </si>
  <si>
    <r>
      <rPr>
        <b/>
        <sz val="10"/>
        <rFont val="Ubuntu"/>
        <family val="2"/>
      </rPr>
      <t xml:space="preserve">&lt;Select from Drop-Down&gt; </t>
    </r>
    <r>
      <rPr>
        <sz val="10"/>
        <rFont val="Ubuntu"/>
        <family val="2"/>
      </rPr>
      <t xml:space="preserve">
(1-Very Low, 2-Low, 3-medium, 4-high, 5-very high)
Business criticality of the application. 
E.g. Very high criticality -  core-apps,
High - disruptions impact operations,
Medium-  non-core business apps (support functions),
Low - peripheral business functions with low revenue impact
Very low criticality- Desktop apps and productivity tools</t>
    </r>
  </si>
  <si>
    <r>
      <rPr>
        <b/>
        <sz val="10"/>
        <rFont val="Ubuntu"/>
        <family val="2"/>
      </rPr>
      <t>&lt;Select from Drop-Down&gt;</t>
    </r>
    <r>
      <rPr>
        <sz val="10"/>
        <rFont val="Ubuntu"/>
        <family val="2"/>
      </rPr>
      <t xml:space="preserve">
1-Very Low (Less than 5000 LoC)
2-Low (5000-10000 LoC)
3-Medium (10000-25000 LoC)
4-High (25000-50000 LoC)
5-Very High (&gt;50000 LoC)</t>
    </r>
  </si>
  <si>
    <r>
      <t>&lt;Free Text&gt;</t>
    </r>
    <r>
      <rPr>
        <sz val="10"/>
        <rFont val="Ubuntu"/>
        <family val="2"/>
      </rPr>
      <t xml:space="preserve">
(e.g. DB2, VSAM, SQL Server ,Oracle, MongoDB) </t>
    </r>
  </si>
  <si>
    <r>
      <rPr>
        <b/>
        <sz val="10"/>
        <rFont val="Ubuntu"/>
        <family val="2"/>
      </rPr>
      <t xml:space="preserve">&lt;Free Text&gt;
</t>
    </r>
    <r>
      <rPr>
        <sz val="10"/>
        <rFont val="Ubuntu"/>
        <family val="2"/>
      </rPr>
      <t>Target application or point of arrival to which the application is being migrated / modernized / consolidated</t>
    </r>
    <r>
      <rPr>
        <sz val="10"/>
        <rFont val="Ubuntu"/>
        <family val="2"/>
      </rPr>
      <t xml:space="preserve">
</t>
    </r>
  </si>
  <si>
    <r>
      <rPr>
        <b/>
        <sz val="10"/>
        <rFont val="Ubuntu"/>
        <family val="2"/>
      </rPr>
      <t xml:space="preserve">&lt;Free Text&gt;
</t>
    </r>
    <r>
      <rPr>
        <sz val="10"/>
        <rFont val="Ubuntu"/>
        <family val="2"/>
      </rPr>
      <t>Date/Quarter
Date on which the application target / PoA will be ready</t>
    </r>
  </si>
  <si>
    <r>
      <t>&lt;Free text&gt;</t>
    </r>
    <r>
      <rPr>
        <sz val="10"/>
        <rFont val="Ubuntu"/>
        <family val="2"/>
      </rPr>
      <t xml:space="preserve">
Active-not isolated, Active-isolated, Not active-not isolated, not active-Isolated</t>
    </r>
  </si>
  <si>
    <r>
      <rPr>
        <b/>
        <sz val="10"/>
        <rFont val="Ubuntu"/>
        <family val="2"/>
      </rPr>
      <t>&lt;Select from Drop down&gt;</t>
    </r>
    <r>
      <rPr>
        <sz val="10"/>
        <rFont val="Ubuntu"/>
        <family val="2"/>
      </rPr>
      <t xml:space="preserve">
Number of years since initial production go‑live.
1 - 0 to 5 Years
2 - 5 to 10 Years
3 - 10-15 Years
4 - 15-20 years
5 - &gt;20 Years</t>
    </r>
  </si>
  <si>
    <r>
      <rPr>
        <b/>
        <sz val="10"/>
        <rFont val="Ubuntu"/>
        <family val="2"/>
      </rPr>
      <t>&lt;Select from Drop-Down&gt;</t>
    </r>
    <r>
      <rPr>
        <sz val="10"/>
        <rFont val="Ubuntu"/>
        <family val="2"/>
      </rPr>
      <t xml:space="preserve">
How long are these applications expected to stay before they are decommissioned? Ideally should be before the decom target date</t>
    </r>
  </si>
  <si>
    <r>
      <t xml:space="preserve">&lt;Select from Drop-Down&gt;
</t>
    </r>
    <r>
      <rPr>
        <sz val="10"/>
        <rFont val="Ubuntu"/>
        <family val="2"/>
      </rPr>
      <t>Yes/no</t>
    </r>
  </si>
  <si>
    <r>
      <rPr>
        <b/>
        <sz val="10"/>
        <rFont val="Ubuntu"/>
        <family val="2"/>
      </rPr>
      <t>&lt;Free text&gt;</t>
    </r>
    <r>
      <rPr>
        <sz val="10"/>
        <rFont val="Ubuntu"/>
        <family val="2"/>
      </rPr>
      <t xml:space="preserve">
Yes/No
</t>
    </r>
  </si>
  <si>
    <r>
      <rPr>
        <b/>
        <sz val="10"/>
        <rFont val="Ubuntu"/>
        <family val="2"/>
      </rPr>
      <t>&lt;Select from dropdown&gt;</t>
    </r>
    <r>
      <rPr>
        <sz val="10"/>
        <rFont val="Ubuntu"/>
        <family val="2"/>
      </rPr>
      <t xml:space="preserve">
(1-Low, 2-Medium, 3-High,4-Very High) </t>
    </r>
  </si>
  <si>
    <t>&lt;Select from Drop-Down&gt;</t>
  </si>
  <si>
    <r>
      <t xml:space="preserve">&lt;Free text&gt;
</t>
    </r>
    <r>
      <rPr>
        <sz val="10"/>
        <rFont val="Ubuntu"/>
        <family val="2"/>
      </rPr>
      <t>Yes/No</t>
    </r>
  </si>
  <si>
    <r>
      <t xml:space="preserve">&lt;Free text&gt;
</t>
    </r>
    <r>
      <rPr>
        <sz val="10"/>
        <rFont val="Ubuntu"/>
        <family val="2"/>
      </rPr>
      <t>Yes/No 
If yes, please mention the names of the applications</t>
    </r>
  </si>
  <si>
    <r>
      <t xml:space="preserve">&lt;Free Text&gt;
</t>
    </r>
    <r>
      <rPr>
        <sz val="10"/>
        <rFont val="Ubuntu"/>
        <family val="2"/>
      </rPr>
      <t xml:space="preserve">Names of Incoming Dependent Applications </t>
    </r>
    <r>
      <rPr>
        <b/>
        <sz val="10"/>
        <rFont val="Ubuntu"/>
        <family val="2"/>
      </rPr>
      <t xml:space="preserve"> </t>
    </r>
    <r>
      <rPr>
        <sz val="10"/>
        <rFont val="Ubuntu"/>
        <family val="2"/>
      </rPr>
      <t>within Nationwide</t>
    </r>
  </si>
  <si>
    <r>
      <t xml:space="preserve">&lt;Free text&gt;
</t>
    </r>
    <r>
      <rPr>
        <sz val="10"/>
        <rFont val="Ubuntu"/>
        <family val="2"/>
      </rPr>
      <t>Number of FTPs, DB calls, MQs, API calls</t>
    </r>
  </si>
  <si>
    <r>
      <t xml:space="preserve">&lt;Free Text&gt;
</t>
    </r>
    <r>
      <rPr>
        <sz val="10"/>
        <rFont val="Ubuntu"/>
        <family val="2"/>
      </rPr>
      <t>List of interface types</t>
    </r>
  </si>
  <si>
    <r>
      <t xml:space="preserve">&lt;Free Text&gt; </t>
    </r>
    <r>
      <rPr>
        <sz val="10"/>
        <rFont val="Ubuntu"/>
        <family val="2"/>
      </rPr>
      <t xml:space="preserve">
Names of outgoing Dependent Applications  within Nationwide</t>
    </r>
    <r>
      <rPr>
        <b/>
        <sz val="10"/>
        <rFont val="Ubuntu"/>
        <family val="2"/>
      </rPr>
      <t xml:space="preserve">
</t>
    </r>
  </si>
  <si>
    <r>
      <rPr>
        <b/>
        <sz val="10"/>
        <rFont val="Ubuntu"/>
        <family val="2"/>
      </rPr>
      <t xml:space="preserve">&lt;Select from Drop-Down&gt; </t>
    </r>
    <r>
      <rPr>
        <sz val="10"/>
        <rFont val="Ubuntu"/>
        <family val="2"/>
      </rPr>
      <t xml:space="preserve">
(1- &lt;10GB, 2- 10-30GB, 3- 30-70GB, 4- 70-100GB, 5- &gt;100GB)</t>
    </r>
  </si>
  <si>
    <r>
      <t xml:space="preserve">&lt;Free Text&gt;
</t>
    </r>
    <r>
      <rPr>
        <sz val="10"/>
        <rFont val="Ubuntu"/>
        <family val="2"/>
      </rPr>
      <t>System of records</t>
    </r>
  </si>
  <si>
    <r>
      <t xml:space="preserve">&lt;Select from Drop-Down&gt;
</t>
    </r>
    <r>
      <rPr>
        <sz val="10"/>
        <rFont val="Ubuntu"/>
        <family val="2"/>
      </rPr>
      <t>Yes/No</t>
    </r>
  </si>
  <si>
    <t>Archive/discarded(Replacement of AQ column)</t>
  </si>
  <si>
    <r>
      <rPr>
        <b/>
        <sz val="10"/>
        <rFont val="Ubuntu"/>
        <family val="2"/>
      </rPr>
      <t xml:space="preserve">&lt;Select Drop Down List&gt; </t>
    </r>
    <r>
      <rPr>
        <sz val="10"/>
        <rFont val="Ubuntu"/>
        <family val="2"/>
      </rPr>
      <t xml:space="preserve">
Self- Explanatory
(1-&gt; Daily, 2-&gt; Weekly, 3-&gt; Monthly, 4-&gt; Fortnightly)
Priority - Monthly. If any of the tables has monthly backup frequency, mark this as monthly</t>
    </r>
  </si>
  <si>
    <r>
      <t xml:space="preserve">&lt;Free Text&gt;
</t>
    </r>
    <r>
      <rPr>
        <sz val="10"/>
        <rFont val="Ubuntu"/>
        <family val="2"/>
      </rPr>
      <t>If yes, please mention the retention duration and purge policy</t>
    </r>
  </si>
  <si>
    <r>
      <rPr>
        <b/>
        <sz val="10"/>
        <rFont val="Ubuntu"/>
        <family val="2"/>
      </rPr>
      <t>&lt;Select from Drop-Down&gt;</t>
    </r>
    <r>
      <rPr>
        <sz val="10"/>
        <rFont val="Ubuntu"/>
        <family val="2"/>
      </rPr>
      <t xml:space="preserve">
(Archival, Purge, Retain)</t>
    </r>
  </si>
  <si>
    <r>
      <t xml:space="preserve">&lt;Select from Drop-Down&gt;
</t>
    </r>
    <r>
      <rPr>
        <sz val="10"/>
        <rFont val="Ubuntu"/>
        <family val="2"/>
      </rPr>
      <t>Eg: For mainframe apps, whether the source code to be stored inside or outside mainframe like GitHub</t>
    </r>
  </si>
  <si>
    <r>
      <t xml:space="preserve">&lt;Free Text&gt;
</t>
    </r>
    <r>
      <rPr>
        <sz val="10"/>
        <rFont val="Ubuntu"/>
        <family val="2"/>
      </rPr>
      <t>E.g. Release procedure via ServiceNow or mail</t>
    </r>
  </si>
  <si>
    <t>Select from Drop-Down</t>
  </si>
  <si>
    <r>
      <t xml:space="preserve">&lt;Free Text&gt;
</t>
    </r>
    <r>
      <rPr>
        <sz val="10"/>
        <rFont val="Ubuntu"/>
        <family val="2"/>
      </rPr>
      <t>If application &amp; data uses same server, please mention it as part of application server count</t>
    </r>
  </si>
  <si>
    <r>
      <t>&lt;Free Text&gt;</t>
    </r>
    <r>
      <rPr>
        <sz val="10"/>
        <rFont val="Ubuntu"/>
        <family val="2"/>
      </rPr>
      <t xml:space="preserve">
Monthly BAU/run cost for operations and support
</t>
    </r>
  </si>
  <si>
    <t>Must have/ Good to have</t>
  </si>
  <si>
    <t>Must have</t>
  </si>
  <si>
    <t>Good to have</t>
  </si>
  <si>
    <t>Sample Answer - Mainframe</t>
  </si>
  <si>
    <t>Policy Billing Mainframe</t>
  </si>
  <si>
    <t>Core mainframe system responsible for policy billing, premium calculation, and invoicing</t>
  </si>
  <si>
    <t>Billing</t>
  </si>
  <si>
    <t>PCIO</t>
  </si>
  <si>
    <t>Colleen</t>
  </si>
  <si>
    <t>Frank</t>
  </si>
  <si>
    <t>In‑house developed</t>
  </si>
  <si>
    <t>Back End</t>
  </si>
  <si>
    <t>Legacy Mainframe Application</t>
  </si>
  <si>
    <t>Yes</t>
  </si>
  <si>
    <t>4/31/26</t>
  </si>
  <si>
    <t>Modernization to distributed platform</t>
  </si>
  <si>
    <t>COBOL, JCL, CICS, DB2, VSAM, z/OS</t>
  </si>
  <si>
    <t>Very High</t>
  </si>
  <si>
    <t>DB2</t>
  </si>
  <si>
    <t>Duck Creek</t>
  </si>
  <si>
    <t>Q3 2026</t>
  </si>
  <si>
    <t>Active – Isolated</t>
  </si>
  <si>
    <t>0 to 5 Years</t>
  </si>
  <si>
    <t>&lt; 3 Months</t>
  </si>
  <si>
    <t>Group</t>
  </si>
  <si>
    <t>No</t>
  </si>
  <si>
    <t>Claims, CRM</t>
  </si>
  <si>
    <t>FTP, MQ</t>
  </si>
  <si>
    <t>Fraud System</t>
  </si>
  <si>
    <t>MQ</t>
  </si>
  <si>
    <t>15 reports monthly</t>
  </si>
  <si>
    <t>less than 10GB</t>
  </si>
  <si>
    <t>Policy Data</t>
  </si>
  <si>
    <t>7 Years</t>
  </si>
  <si>
    <t>Weekly</t>
  </si>
  <si>
    <t>Archive</t>
  </si>
  <si>
    <t>10 days</t>
  </si>
  <si>
    <t>Mainframe CAB process</t>
  </si>
  <si>
    <t>15 days</t>
  </si>
  <si>
    <t>ServiceNow</t>
  </si>
  <si>
    <t>1 - 10 Users</t>
  </si>
  <si>
    <t>&gt; 30 Users</t>
  </si>
  <si>
    <t>2 months</t>
  </si>
  <si>
    <t>Minimal Documentation</t>
  </si>
  <si>
    <t>Has only basic information</t>
  </si>
  <si>
    <t>Shared</t>
  </si>
  <si>
    <t>Dedicated</t>
  </si>
  <si>
    <t>IBM Omegamon</t>
  </si>
  <si>
    <t>NA</t>
  </si>
  <si>
    <t>45,000 USD</t>
  </si>
  <si>
    <t>Sample Answer - Distributed</t>
  </si>
  <si>
    <t>Claims Portal</t>
  </si>
  <si>
    <t>Web‑based portal for end‑to‑end claims processing</t>
  </si>
  <si>
    <t>Claims</t>
  </si>
  <si>
    <t>HV</t>
  </si>
  <si>
    <t>Scott</t>
  </si>
  <si>
    <t>COTS with customization</t>
  </si>
  <si>
    <t>Both</t>
  </si>
  <si>
    <t>Web Application</t>
  </si>
  <si>
    <t>12/31/26</t>
  </si>
  <si>
    <t>Business consolidation</t>
  </si>
  <si>
    <t>ASP.NET Core, SQL Server, IIS, Azure</t>
  </si>
  <si>
    <t>High</t>
  </si>
  <si>
    <t>Medium</t>
  </si>
  <si>
    <t>SQL Server</t>
  </si>
  <si>
    <t>15-20 years</t>
  </si>
  <si>
    <t>Single</t>
  </si>
  <si>
    <t xml:space="preserve">NA </t>
  </si>
  <si>
    <t>REST API</t>
  </si>
  <si>
    <t>Claims System</t>
  </si>
  <si>
    <t>30 reports daily</t>
  </si>
  <si>
    <t>10-30GB</t>
  </si>
  <si>
    <t>Claims function</t>
  </si>
  <si>
    <t>3 Years</t>
  </si>
  <si>
    <t>Daily</t>
  </si>
  <si>
    <t>Purge</t>
  </si>
  <si>
    <t>30 days</t>
  </si>
  <si>
    <t>Via Mailer</t>
  </si>
  <si>
    <t>Well Documented</t>
  </si>
  <si>
    <t>Has operational &amp; business knowledge</t>
  </si>
  <si>
    <t>New Relic, Splunk</t>
  </si>
  <si>
    <t>Annual</t>
  </si>
  <si>
    <t>25,000 USD</t>
  </si>
  <si>
    <t>Application #1</t>
  </si>
  <si>
    <t>Pathway (DSM)</t>
  </si>
  <si>
    <t>Maintains customer information at the name and address level</t>
  </si>
  <si>
    <t>Esposito, Colleen M</t>
  </si>
  <si>
    <t>Not Started</t>
  </si>
  <si>
    <t>DB2 Tables</t>
  </si>
  <si>
    <t xml:space="preserve">DB2 Tables- Around 20 Tables
</t>
  </si>
  <si>
    <t>TBD</t>
  </si>
  <si>
    <t>N/A</t>
  </si>
  <si>
    <t>Discard</t>
  </si>
  <si>
    <t>Application #2</t>
  </si>
  <si>
    <t>Mainframe Business Auto</t>
  </si>
  <si>
    <t>Policy processing system for Business Auto Policies.</t>
  </si>
  <si>
    <t>Policy</t>
  </si>
  <si>
    <t>Michael Hansen</t>
  </si>
  <si>
    <t>In Progress - Planning</t>
  </si>
  <si>
    <t xml:space="preserve">VSAM policy and quote data on our index, master, and data entry files. VSAM Renewal index, master and data entry .  Also VSAM rate files, class files, edit files and tablebase
VSAM files for entry, master and quotes. Also automatic renewal VSAM files
VSAMC.PPV.DATA.ENTRY.INDEX
VSAMC.PPV.DATA.ENTRY.MASTER
VSAMC.PPV.INDEX
VSAMC.PPV.MASTER
VSAMC.PPV.LIVE.RATE
VSAMC.PPV.QUOTE.PRINT.INDEX
VSAMC.PPV.QUOTE.PRINT.MASTER
VSAM1.PPV.ACCTDIST.MASTER
VSAM1.PPV.CLASS
VSAM1.PPV.QUOTE.INDEX
VSAM1.PPV.QUOTE.INDEX.PRIOR  
VSAM1.PPV.QUOTE.MASTER.PRIOR  
VSAM1.PPV.QUOTE.MASTER        
VSAM1.PPV.QUOTE.INDEX.CURRENT
VSAM1.PPV.QUOTE.MASTER.CURRENT
VSAM1.PPV.RECYCLE.INDEX   
VSAM1.PPV.RECYCLE.MASTER  
VSAM1.PPV.RENEW.INDEX     
VSAM1.PPV.RENEW.MASTER
VSAM1.PPV.VEHICLE.MAKE
VSAM files used for inquiry during the nightly batch cycle
VSAMN.PPV.DATA.ENTRY.INDEX  
VSAMN.PPV.DATA.ENTRY.MASTER
VSAMN.PPV.INDEX                
VSAMN.PPV.INDEX.AFMR           
VSAMN.PPV.LIVE.RATE            
VSAMN.PPV.MASTER               
VSAMN.PPV.MASTER.AFMR          
VSAMN.PPV.QUOTE.PRINT.INDEX    
VSAMN.PPV.QUOTE.PRINT.MASTER   
</t>
  </si>
  <si>
    <t>Indefinite</t>
  </si>
  <si>
    <t>Application #3</t>
  </si>
  <si>
    <t>Mainframe General Liability (GLS)</t>
  </si>
  <si>
    <t>Policy Processing system for General Liability policy types.</t>
  </si>
  <si>
    <t>Prasad Penchala</t>
  </si>
  <si>
    <t>VSAM policy and quote data in the index, master, data entry and quoue hold files. Also VSAM rates, rate date and class code files
	VSAM Files – 
		Index - VSAMC.GLS.INDEX                            
		Master - SAMC.GLS.MASTER
		history index - VSAMC.GLS.HISTORY.INDEX 
		history master - VSAMC.GLS.HISTORY.MASTER 
		data entry - VSAMC.GLS.DATA.ENTRY 
		quote - VSAMC.GLS.QUOTE.HOLD
		Quote print - VSAMC.GLS.QUOTE.PRT
		Rate date - VSAMC.GLS.POL.RATE.DATE
		rate file - VSAMC.GLS.LIVE.RATE,VSAM1.GLS.PSEUDO.RATE
		class code file - VSAMC.GLS.LIVE.CLASS
		quote file - VSAMC.GLS.QUOTE.HOLD
		Renewal data entry - VSAMC.GLS.DATA.ENTRY.RENEW,	VSAMC.GLS.DATA.ENTRY.WORK
		Renewal rate date -
 VSAMC.GLS.RATE.DATE.RENEW,VSAMC.GLS.RATE.DATE.WORK
                Tape Files - 
                                Policy data is in the below tape files
                                   AID01.GLS.FINAL.YTD.INDEX.PURGE
                                   AID01.GLS.FINAL.YTD.MASTER.PURGE
                                   AID01.GLS.YTD.INDEX.PURGE
                                   AID01.GLS.YTD.MASTER.PURGE
	DB2 Tables – General Liability does not own any DB2 tables.
Hercules - Data in Index and Master file is ingested to Hercules</t>
  </si>
  <si>
    <t>Application #4</t>
  </si>
  <si>
    <t>Mainframe Commercial Property</t>
  </si>
  <si>
    <t>Policy processing system for the Commercial Property Line of Business</t>
  </si>
  <si>
    <t>VSAM policy and quote data on our index, master, and data entry files. VSAM Renewal index, master and data entry .  Also VSAM rate files and tablebase      VSAM files – 
		Index - VSAMC.CPS.INDEX
		Master - VSAMC.CPS.MASTER
		Data entry - VSAMC.CPS.DATA.ENTRY
		Rates - VSAMC.CPS.RATE.FILE
		Renewal Data Entry - VSAMC.CPS.DATA.ENTRY.RENEW   
		Quotes - VSAMC.CPS.QUOTE.ENTRY                                                                                                                          Quote print - VSAMC.CPS.QUOTE.PRINT                                                                              Account Dist - VSAMC.CPS.ACCTDIST                                                                             
	DB2 Tables – Commercial Property does not own any DB2 table                                                                                                                   
                Tape Files - 
                               AID01.CPS.FINAL.YTD.PURGE
                 Hercules - 
                               Data in Index and Master file is ingested to Hercules"</t>
  </si>
  <si>
    <t>Application #5</t>
  </si>
  <si>
    <t>Mainframe Package Control</t>
  </si>
  <si>
    <t>Policy processing system for the commercial package control system.</t>
  </si>
  <si>
    <t xml:space="preserve">VSAM policy and quote data on our index, master, and data entry files. VSAM Renewal index, master and data entry .  Also VSAM edit files and tablebase
VSAM files for entry, master and quotes. Also automatic renewal VSAM files
VSAMC.PPZ.DATA.ENTRY.INDEX
VSAMC.PPZ.DATA.ENTRY.MASTER
VSAMC.PPZ.INDEX
VSAMC.PPZ.MASTER
VSAMC.PPZ.QUOTE.INDEX
VSAMC.PPZ.QUOTE.MASTER
VSAMC.PPZ.QUOTE.PRINT.INDEX  
VSAMC.PPZ.QUOTE.PRINT.MASTER
VSAM1.PPZ.RENEW.INDEX
VSAM1.PPZ.RENEW.MASTER
VSAM1.PPZ.DAILY.EDIT.ERRORS
VSAM1.PPZ.DATA.ENTRY.INDEX.CURRENT
VSAM1.PPZ.DATA.ENTRY.MASTER.CURRENT
VSAM1.PPZ.DATA.ENTRY.INDEX.PRIOR
VSAM1.PPZ.DATA.ENTRY.MASTER.PRIOR
VSAM1.PPZ.QUOTE.INDEX.CURRENT
VSAM1.PPZ.QUOTE.MASTER.CURRENT
VSAM1.PPZ.QUOTE.INDEX.PRIOR
VSAM1.PPZ.QUOTE.MASTER.PRIOR
VSAM1.PPZ.RECYCLE.INDEX 
VSAM1.PPZ.RECYCLE.MASTER
VSAM files used in the Pak money FMR process
VSAMC.PPZ.RECYCLE.ERROR
VSAM1.PPZ.BATCH.SUSPENSE.NUMBER
VSAM files used for inquiry during the nightly batch cycle 
VSAMN.PPZ.DATA.ENTRY.INDEX
VSAMN.PPZ.DATA.ENTRY.MASTER 
VSAMN.PPZ.INDEX             
VSAMN.PPZ.INDEX.AFMR        
VSAMN.PPZ.INDEX.AMFMR
VSAMN.PPZ.MASTER        
VSAMN.PPZ.MASTER.AFMR   
VSAMN.PPZ.MASTER.AMFMR  
VSAMN.PPZ.QUOTE.INDEX   
VSAMN.PPZ.QUOTE.MASTER  
VSAMN.PPZ.QUOTE.PRINT.INDEX 
VSAMN.PPZ.QUOTE.PRINT.MASTER
VSAMN.PPZ.RECYCLE.ERROR
</t>
  </si>
  <si>
    <t>Application #6</t>
  </si>
  <si>
    <t>Mainframe Farm</t>
  </si>
  <si>
    <t>Policy processing system for Farm policies</t>
  </si>
  <si>
    <t>VSAM policy,quote and rate data; database  inflation factor, farm credit, RCE
	VSAM Files – 
		Index - VSAMC.FMP.INDEX
		Policy - VSAMC.FMP.POLICY
		Quote - VSAMC.FMP.QUOTE.HOLD
		data entry - VSAMC.FMP.DATA.ENTRY
		quote print - VSAMC.FMP.QUOTE.PRINT
		Worksheet - VSAMC.FMP.TEMP.WRKSHEET.FILE
		accounting/distribution - VSAM1.FMP.ACCTDIST
		rate data - VSAMC.FMP.RATES
	DB2 Tables – 
		FB2T0070_RES_INFL_FCTR (Inflation Factors)
		FB2T0050_CRDT_INFO (Farm Credit)
		FB2T0030_CHS_DIVD (Farm Dividend)
		FB2T0300_RCE_GENERAL(RCE)
		FB2T0310_RCE_STRUCTURE(RCE)
		FB2T0320_RCE_COMPONENT(RCE)
                Tape Files -
                                AID01.FMP.FINAL.YTD.PURGE
                                AID01.FMP.YTD.PURGE
                                AID01.FMP.MTD.PURGE
                Hercules - 
                               Data in Index and Master file is ingested to Hercules</t>
  </si>
  <si>
    <t>Mainframe Farm (WINS)</t>
  </si>
  <si>
    <t>Application #7</t>
  </si>
  <si>
    <t>Mainframe Business Owners (SBO)</t>
  </si>
  <si>
    <t>Policy Processing System for Commercial Business Owners policies.</t>
  </si>
  <si>
    <t xml:space="preserve">VSAM policy and quote data in the index, master, data entry and quoue hold files. Also VSAM rates, class code and the accounting/distribution files                                          
	VSAM files – 
		Index - VSAMC.SBO.INDEX
		Master - VSAMC.SBO.MASTER
		Data entry - VSAMC.SBO.DATA.ENTRY
		class codes -VSAMC.SBO.LIVE.CLASS
		rates - VSAMC.SBO.LIVE.RATE
		Renewal index - VSAMC.SBO.DATA.ENTRY.RENEW
		Prior Index - VSAMC.SBO.PRIOR.INDEX
		Quotes - VSAMC.SBO.QUOTE.HOLD                                                                                                                              Quote print - VSAMC.SBO.QUOTE.PRINT                                                                              Account Dist - VSAM1.SBO.ACCTDIST                                                                             BOP Index after FMR - VSAM1.SBO.INDEX.AFMR                                                                        BOP Master after FMR - VSAM1.SBO.MASTER.AFMR
	DB2 Tables – Businessowners does not own any DB2 table                                                                                                                    PPH_STATE_ZIP_INFLT_FCTR – State Zip Code 
                Tape Files - 
                               AID01.SBO.FINAL.YTD.*
                               AID01.SBO.YTD.*
              </t>
  </si>
  <si>
    <t>Application #8</t>
  </si>
  <si>
    <t>Mainframe Policy Entry</t>
  </si>
  <si>
    <t>Policy Processing System for Inland Marine, Crime, Commercial Umbrella, and Personal Umbrella policies</t>
  </si>
  <si>
    <t>VSAM policy and quote data on our index, master, MOT and data entry files.  VSAM Renewal index, master, MOT and data entry.                                                            VSAM files – 
		Index (Policies and Quotes) - VSAM1.PCS.INDEX
		Master  (Policies and Quotes) - VSAM1.PCS.POLICY
		Data entry (trigger record only for NB/REN)- VSAM1.PCS.DATA.ENTRY             MOT (trigger record only for changes) - VSAM1.PCS.MOT
		class codes , forms-VSAM1.PCS.TABLE
		rates - no rate file for Policy Entry
		Renewal index - VSAM1.PCS.RENEW.INDEX
		Renewal Master - VSAMC.PCS.RENEW.POLICY                                                            Renewal Data Entry - VSAM1.PCS.RENEW.DATA.ENTRY
	DB2 Tables – Policy Entry does not own any DB2 table                                                                                                            
                Tape Files - 
                               AID01.PCS.FINAL.YTD.PURGE
                 Hercules - 
                               Data in Index and Master file is ingested to Hercules"</t>
  </si>
  <si>
    <t>Application #9</t>
  </si>
  <si>
    <t>Mainframe Workers Comp</t>
  </si>
  <si>
    <t>Policy processing systems for Workers Compensation policies.</t>
  </si>
  <si>
    <t>VSAM files - index, master, data entry, MOT, class code descriptions, rates, unit stat, dividends, renewal index/master/data entry
	VSAM files – 
		Index - VSAMC.WCS.INDEX
		Master - VSAMC.WCS.MASTER
		Data entry - VSAMC.WCS.DATA.ENTRY
		MOT - VSAMC.WCS.MOT
		class code descriptions - VSAMC.WCS.DESC
		rates - VSAMC.WCS.RATE.ENTRY, VSAMC.WCS.RATES
		unit stat - VSAMC.WCS.US.MASTER
		dividends - VSAMC.WCS.PARPLAN.MASTER
		Renewal index - VSAMC.WCS.RENEW.INDEX, VSAMC.WCS.INDEX.WORK
		Renewal master - VSAMC.WCS.RENEW.MASTER, VSAMC.WCS.INDEX.MASTER
		Renewal data entry - VSAMC.WCS.RENEW.DATA.ENTRY, VSAMC.WCS.DATA.ENTRY.WORK
		Endorsements - VSAM1.WCS.END.EDITS
	DB2 Tables – Work comp does not own any DB2 tables
                Tape Files - 
                               AID01.WCS.FINAL.YTD.PURGE
                               AID01.WCS.YTD.PURGE.HISTORY
                 Hercules - 
                               Data in Index and Master file is ingested to Hercules</t>
  </si>
  <si>
    <t>Application #10</t>
  </si>
  <si>
    <t>Allied Endorsements</t>
  </si>
  <si>
    <t>Repository of policy endorsements available to Service Advantage policy systems, billing and TCS</t>
  </si>
  <si>
    <t>Yes - VSAM</t>
  </si>
  <si>
    <t xml:space="preserve">Endorsements by prefix/state with the start/end date of use. </t>
  </si>
  <si>
    <t>Application #11</t>
  </si>
  <si>
    <t>Alpha Search</t>
  </si>
  <si>
    <t>Maintains customer information by policy at the customer name and address level</t>
  </si>
  <si>
    <t>Customer data</t>
  </si>
  <si>
    <t>Application #12</t>
  </si>
  <si>
    <t>Error Message</t>
  </si>
  <si>
    <t>Maintains a VSAM based common message file for the Service Avantage policy systems. The policy system requests a type of message and gets back a specific error correctly worded.</t>
  </si>
  <si>
    <t>Application #13</t>
  </si>
  <si>
    <t>Policy Reload</t>
  </si>
  <si>
    <t>Central point for customers to request a policy to be reloaded from back up files onto online policy systems.</t>
  </si>
  <si>
    <t xml:space="preserve">Used to notify policy admin systems to reload a policy from backup tapes
</t>
  </si>
  <si>
    <t>Transfer to Flex</t>
  </si>
  <si>
    <t>Application #14</t>
  </si>
  <si>
    <t>Policy Expirations</t>
  </si>
  <si>
    <t>Process expiring policies. EXP on a monthly basis(end of month processing(EOM)) selects policies that are 105 days or less from expiring and generates reports such as NON-RENEWLs list, EXPIRATION list, etc. EXP also creates a monthly file of expiring policies that gets processed daily and any policy that is 73 days or less from expiring is written to EFILE and EFILE is sent to Columbus for further processing.</t>
  </si>
  <si>
    <t>03/31/26</t>
  </si>
  <si>
    <t>Policies coming up for renewal
11/09/2025 - will review opportunity to decommission earlier, but need time to review.  Not a big rock</t>
  </si>
  <si>
    <t>Application #15</t>
  </si>
  <si>
    <t>Commercial Umbrella</t>
  </si>
  <si>
    <t>Online calculator for Commercial Umbrella policies. This application is being used by Commercial Underwriters in PCIO Exclusive and Independent.</t>
  </si>
  <si>
    <t>Bill Mardis</t>
  </si>
  <si>
    <t>Cloud SQL Server database COMUDB has 30 tables that are a combination of Umbrella quote data entered in the tool along with tables that contain app rules/class codes/rates
1/14-Preliminary discussion started,its calculator</t>
  </si>
  <si>
    <t>MAX 5 years for quotes, need to determine</t>
  </si>
  <si>
    <t>Application #16</t>
  </si>
  <si>
    <t>Commercial Rate Step Maintenance</t>
  </si>
  <si>
    <t>Rate Step Maintenance Application used by Commercial to maintain rate Steps for BOP, BA, &amp; Farm. Also, this project may go with a Minor Release sometime after the PC4.0-08 Release.</t>
  </si>
  <si>
    <t>Updates/reads mainframe DB2 tables that are ultimately used by PCIO mainframe policy systems
PPHDP001
PPH_COBOL_STEP
PPH_COBOL_STEP_CRITR
PPH_CVRG_DM
PPH_ITEM_GRP_DM
PPH_ITEM_MAPPING_DM
PPH_ORG_DM
PPH_PRODUCT_DM
PPH_RT_STEP
PPH_RT_STEP_CRITR
PPH_STATE_DM
PPH_SUBPRODUCT_DM
PPH_UNIT_DM
PPH_VALID_CVRG_DM
PPH_VALID_PREFX_DM
PPH_WKSHT_DSC_DM
1/14-Turn of Web App in second week of Feb</t>
  </si>
  <si>
    <t>MF PCIO - PAK</t>
  </si>
  <si>
    <t>Data Retention will be done as per PCIO Mainframe , getting rid of UI</t>
  </si>
  <si>
    <t>Application #17</t>
  </si>
  <si>
    <t>CCRF Agent Center</t>
  </si>
  <si>
    <t>Allows agents to submit Commercial Change Requests via the Agent Center.</t>
  </si>
  <si>
    <t>Cloud SQL Server Database PH4DD001 - 29 tables starting with PH4* that contain amendment details keyed into the app.
When user submits an amendment, the details are put in a PDF and sent to processing via eFile.  
There is no direct connection between the data entered/stored in CCRF with the PCIO mainframe policy systems.  All data is manually keyed in CCRF and then manually keyed in PCIO mainframe.</t>
  </si>
  <si>
    <t>Application #18</t>
  </si>
  <si>
    <t>Commercial Mainframe COI</t>
  </si>
  <si>
    <t>Commercial Mainframe COI processing/printing.</t>
  </si>
  <si>
    <t>Cert of Insurance from Agent Center, still utilized. Is this used for PC COI? Should not be on the decom list, need to verify it's the same tool used for PC because it needs to remain. Request comes from Agent Center COI</t>
  </si>
  <si>
    <t>Application #19</t>
  </si>
  <si>
    <t>Commercial Renewal Reporting DB</t>
  </si>
  <si>
    <t>PCIO - Stores the U/W renewal rules and statistics to report against it. The database we own is for business driven Brio Reports measuring policies that Renew without being touched by underwriters. It also measures renewal errors that are triggering Underwriter activities to determine if the renewal rules need to be adjusted to meet the business needs. There are also reports that measure regional office renewal volume and premium.</t>
  </si>
  <si>
    <t>Renewal data from PCIO Automatic Renewal process</t>
  </si>
  <si>
    <t>Application #20</t>
  </si>
  <si>
    <t>Commercial Underwriting DB</t>
  </si>
  <si>
    <t>Marketing/Pricing/Underwriting Database - Monitors IA Agents productivity and IA Agents Quote to Issue Premium Variations. Owned by Underwriting. Web front-end that is owned by CIQ. Also produces and stores reports for Marketing, Pricing and Underwriting. Includes several BRIO queries. Underwriting owns BRIO queries</t>
  </si>
  <si>
    <t>Application #21</t>
  </si>
  <si>
    <t>HV-Accounts Receivable</t>
  </si>
  <si>
    <t>Accounts Receivable Also known as Agent Balance and Reconciliation Recieves feeds from Billing System and PNC lockbox</t>
  </si>
  <si>
    <t>MSA</t>
  </si>
  <si>
    <t>04/01/27</t>
  </si>
  <si>
    <t xml:space="preserve">DB2 tables - contain accounts receivable data.
prod.ARCV_STMNT_ELMNT
prod.ARCV_ACCT_STMNT
</t>
  </si>
  <si>
    <t>5281 HV-Accounts Receivable</t>
  </si>
  <si>
    <t>FMA170 – Accounting Records -7 years</t>
  </si>
  <si>
    <t>Application #22</t>
  </si>
  <si>
    <t>HV-Agency Bill Account Current</t>
  </si>
  <si>
    <t>This application is used to bill agents (monthly) and track their balances due the company.</t>
  </si>
  <si>
    <t>5296 HV-Legacy Billing</t>
  </si>
  <si>
    <t>Application #23</t>
  </si>
  <si>
    <t>HV-Agency Systems</t>
  </si>
  <si>
    <t>Includes Agency Performance, Agency Commissions, Agency Master, Expiration, and Mainframe Portion of Agency Download</t>
  </si>
  <si>
    <t>Producer/Agency</t>
  </si>
  <si>
    <t xml:space="preserve">Harleysville legacy system including Agency Master, Agency Performance, and Agency Download batch processing and CICS.
VSAM files
Agency Master file: CORP00PV.AGCY.NEW.ADSK..C
Master file contains all agency info including appointments
Agency Performance: CORP00PV.AGCY.PERFORM.C
HV agency data is fed over to AMF and DPIM
</t>
  </si>
  <si>
    <t>5283 HV Agency Systems</t>
  </si>
  <si>
    <t xml:space="preserve"> INS1020 – Agency Administration - Active + 7 years</t>
  </si>
  <si>
    <t>Application #24</t>
  </si>
  <si>
    <t>HV-CCMS &amp; Score</t>
  </si>
  <si>
    <t>Used for assignment of policy numbers for manual policies and to link them in the Insured Account Database. In addition, if any of these policies are brought into automation at renewal, CCMS would be used to set up the renewal conversion.</t>
  </si>
  <si>
    <t>MF</t>
  </si>
  <si>
    <t xml:space="preserve">Vsam - Policy number assignment for manual policies
COMM00PV.CCMS.MASTER.C
</t>
  </si>
  <si>
    <t>5285-HV-CCMS &amp; Score</t>
  </si>
  <si>
    <t>Application #25</t>
  </si>
  <si>
    <t>HV-Direct Bill Commission</t>
  </si>
  <si>
    <t>Monthly application that creates agent's commission payments for Direct Bill policies.</t>
  </si>
  <si>
    <t>agent commissions, pull data from stat and accounting records and feed to SAP, data returned and do check print, processing, commissions payments, check statements
FMA170 – Accounting Records</t>
  </si>
  <si>
    <t>Application #26</t>
  </si>
  <si>
    <t>HV-Legacy Billing Systems</t>
  </si>
  <si>
    <t>The Agency bill system supports the monthly billing and collection from each agent on a net premium basis (premium less commission). The agency bill premiums are for accounts of $50,000 or more. The system provides a history of collection activity and provides detailed Information on all outstanding unpaid premium by agent.The Direct Bill system supports the billing and collection directly from the customer, of P&amp;C insurance premium written by Harleysville Insurance operations.</t>
  </si>
  <si>
    <t>win 2019 SQL and Windows, batch</t>
  </si>
  <si>
    <t xml:space="preserve">Accounts/Policies/Cash transactions/Audit trail, VSAM
BILL00PV.DRCT.B1.MASTER.C
BILL00PV.DRCT.B2.MASTER.C
BILL00PV.DRCT.B3.MASTER.C
BILL00PV.DRCT.B4.MASTER.C
BILL00PV.DRCT.ACCT.AUDIT.TRAIL.C
BILL00PV.DRCT.AUDIT.TRAIL.C
FMA170 – Accounting Records
Images stored in IR and will go to RRC with ImageRight decom
</t>
  </si>
  <si>
    <t>Application #27</t>
  </si>
  <si>
    <t>HV-Personal Lines Legacy</t>
  </si>
  <si>
    <t>Policy adminstration for Personal lines Homeowners, Automobile, Blanket Excess, Inland Marine, and Shipmate on the mainframe</t>
  </si>
  <si>
    <t>Win2019, SQL2019</t>
  </si>
  <si>
    <t xml:space="preserve">Personal lines policy information for Harleysville including Auto, Home, Dwelling and Unbrella lines of businesss on the mainframe.  There is a database for Auto, Home, and Umbrella
PLAU00PV.AUTO.POL.CTRL.PROD.MSTR.C
PLAU00PV.AUTO.POL.DTL1.MSTR.C
PLAU00PV.AUTO.POL.DTL2.MSTR.C
PLAU00PV.AUTO.POL.DTL3.MSTR.C
PLAU00PV.AUTO.POL.DTL4.MSTR.C
PLPP00PV.HOME.CONTROL.MSTR.C
PLPP00PV.HOME.POL.DTL.MSTR.C
PLPP00PV.HOME.HO61.MSTR.C
PLPP00PV.DWEL.POL.DTL.MSTR.C
PLPP00PV.SHIP.POL.DTL.MSTR.C
PLPP00PV.BLEX.POL.DTL.MSTR.C
</t>
  </si>
  <si>
    <t>POL100 – Policyholders Administration, Lifetime Policy Records - Active + 10 years</t>
  </si>
  <si>
    <t>Application #28</t>
  </si>
  <si>
    <t>HV-Commercial Lines Legacy</t>
  </si>
  <si>
    <t>App will be decom with MF.</t>
  </si>
  <si>
    <t xml:space="preserve">5/17/22 from Terry; There is VSAM data associated with this application which should still be in existence for inquiry purposes.  Colleen and I discussed this app last night and this data should be made available in Alcides as it may be required for future Claims reporting.  There should be inquiry functionality supporting this application with no transactional capability. Cindy Budka is knowledgeable on this app and would be able to speak to file layouts/content.
COMM00PV.CAUT.CA.CONTROL.MASTER.C
COMM00PV.CAUT.CA.DETAIL.MASTER.C
COMM00PV.CAUT.PU.DETAIL.MASTER.C
COMM00PV.WCOM.WC.CONTROL.MASTER.C
COMM00PV.WCOM.WC.DETAIL.MASTER.C
COMM00PV.WCOM.PU.DETAIL.MASTER.C
COMM00PV.BEXC.BE.CONTROL.MASTER.C  
COMM00PV.BEXC.BE.DETAIL.MASTER.C  
COMM00PV.BEXC.PU.DETAIL.MASTER.C  
COMM00PV.MONO.CP.CONTROL.MASTER.C  
COMM00PV.MONO.CP.DETAIL.MASTER.C  
COMM00PV.MONO.GL.CONTROL.MASTER.C  
COMM00PV.MONO.GL.DETAIL.MASTER.C  
COMM00PV.MONO.BO.CB.CONTROL.MASTER.C  
COMM00PV.MONO.BO.CB.DETAIL.MASTER.C  
COMM00PV.MONO.PU.DETAIL.MASTER.C  
COMM00PV.MULT.IM.CONTROL.MASTER.C  
COMM00PV.MULT.IM.DETAIL.MASTER.C  
COMM00PV.MULT.MP.CONTROL.MASTER.C  
COMM00PV.MULT.MP.DETAIL.MASTER.C  
COMM00PV.MULT.CR.CONTROL.MASTER.C  
COMM00PV.MULT.CR.DETAIL.MASTER.C  
COMM00PV.MULT.PU.DETAIL.MASTER.C  
</t>
  </si>
  <si>
    <t>POL140 – Commercial Lines, Property and Casualty Insurance Lifetimes  - Indefinite
Stand-alone commercial auto: POL100 – Policyholders Administration, Lifetime Policy Records - Active + 10 years</t>
  </si>
  <si>
    <t>Application #29</t>
  </si>
  <si>
    <t>HV-Commercial Lines DMV</t>
  </si>
  <si>
    <t>Used for reporting vehicle information to various state DMV agencies</t>
  </si>
  <si>
    <t>Desktop</t>
  </si>
  <si>
    <t xml:space="preserve"> Feeds to/from Verisk - CL</t>
  </si>
  <si>
    <t>5307 - HVCommercial Lines</t>
  </si>
  <si>
    <t>Application #30</t>
  </si>
  <si>
    <t>HV-Midstream Stat Creation</t>
  </si>
  <si>
    <t>Creation of Accouting/Stat to be processed downstream systems</t>
  </si>
  <si>
    <t>AQS / DCT are the source</t>
  </si>
  <si>
    <t>Application #31</t>
  </si>
  <si>
    <t>HV-AccessWeb - UWRulesEngineWeb App</t>
  </si>
  <si>
    <t>User interface for accepting and responding to binding authority questions an rules.</t>
  </si>
  <si>
    <t>WIN2019</t>
  </si>
  <si>
    <t xml:space="preserve">Uses xml Binding Authority blobs for Questions and Answers. </t>
  </si>
  <si>
    <t>HV-URE, HV-Quote, IADB</t>
  </si>
  <si>
    <t>UND120 – Commercial Lines, Property, Casualty -Indefinite</t>
  </si>
  <si>
    <t>Application #32</t>
  </si>
  <si>
    <t>HV-Audit Upload Manager</t>
  </si>
  <si>
    <t>Audits discrepancies in policy premium caused by quote and billing date issues.</t>
  </si>
  <si>
    <t>WIN2022, SQL2019</t>
  </si>
  <si>
    <t>Database is the audit control file</t>
  </si>
  <si>
    <t>AQS</t>
  </si>
  <si>
    <t>Application #33</t>
  </si>
  <si>
    <t>HV-Renewal Automation</t>
  </si>
  <si>
    <t>Renewal automation is a batch process (.net/sq.) that runs in the background on a nightly basis. The job gathers data from both legacy and AQS and flags 90 day expiration candidates for renewal. Some can issue automatically, others are flagged for manual intervention. Web Methods is the intermediary link between all the function.</t>
  </si>
  <si>
    <t>Renewal control db</t>
  </si>
  <si>
    <t>Application #34</t>
  </si>
  <si>
    <t>HV-Underwriting Rules Engine (URE)</t>
  </si>
  <si>
    <t>The tool used to assign rules around potential customer's provided information. This rules engine will determine if the policy can be bindable, determining account-level renewal authority, determing applicable product, system and line of business..</t>
  </si>
  <si>
    <t>Stores Protocol data and uses xml blob saved for prior referrals generated.Quote and IADB db's used to populate Blaze and .net objects.</t>
  </si>
  <si>
    <t>Application #35</t>
  </si>
  <si>
    <t>HV-ACE - Premium Audit</t>
  </si>
  <si>
    <t>Premium audit. Commercial policy so much for the year. Premium is estimated. Your premium should be or less or more. Feeds from policy systems</t>
  </si>
  <si>
    <t>Michael Kelly</t>
  </si>
  <si>
    <t>Audit Data</t>
  </si>
  <si>
    <t>HV AQS</t>
  </si>
  <si>
    <t xml:space="preserve">UND120 – Commercial Lines, Property, Casualty - indefinite
Und 100 - </t>
  </si>
  <si>
    <t>Application #36</t>
  </si>
  <si>
    <t>HV-Clarify</t>
  </si>
  <si>
    <t>CRM Tool for Contact Center and Service Center</t>
  </si>
  <si>
    <t>Win2016</t>
  </si>
  <si>
    <t>CRM data - data is sent to HV Direct Bill Mainframe - URA (User Remarks Area)  - we stopped send sending this when Zoom replaced Clarify. Clarify still collects this data but no longer sends it to ZOOM</t>
  </si>
  <si>
    <t>HV - Billing</t>
  </si>
  <si>
    <t>Application #37</t>
  </si>
  <si>
    <t>HV-COGNOS</t>
  </si>
  <si>
    <t>Query report and analysis capabilities for all type of data. A component of COGNOS is Analyst Studio, which also needs to be tested whenever any type of upgrade occurs.</t>
  </si>
  <si>
    <t>Policy Holder, Conformed Demisions and Claims master
BI Reporting, Audit Store and Content Store</t>
  </si>
  <si>
    <t>Yes - feeds to Cognos</t>
  </si>
  <si>
    <t>HV-Legacy Claims (5297)</t>
  </si>
  <si>
    <t>Application #38</t>
  </si>
  <si>
    <t>HV-ImageRight</t>
  </si>
  <si>
    <t>Imaging and workflow management system from Vertafore. This system is used to capture policy, underwriting and claims workflow and documentation. Images can be introduced into this system in various ways such as scanning, printing, and email.</t>
  </si>
  <si>
    <t>07/01/27</t>
  </si>
  <si>
    <t>MF, VSAM, CICS</t>
  </si>
  <si>
    <t>Stores Output from DCT, AQS, Claims, Billing, Accounting Reports (retire after all HV apps retired or docs moved)
6/30/21 Also used as an input to ClaimCenter, see notes for more info</t>
  </si>
  <si>
    <t>ImageRight</t>
  </si>
  <si>
    <t>Application #39</t>
  </si>
  <si>
    <t>HV-Informatica</t>
  </si>
  <si>
    <t>ETL Tool</t>
  </si>
  <si>
    <t>ETL software that stores repository data and meta data (no policy data is stored)</t>
  </si>
  <si>
    <t>HV - Informatica</t>
  </si>
  <si>
    <t>Application #40</t>
  </si>
  <si>
    <t>HV-Rules Maintenance Application (RMA)</t>
  </si>
  <si>
    <t>Development platform to write business rules. These rules are then used by the URE application.</t>
  </si>
  <si>
    <t>Uses database rules repository to store  rule updates, templates and rule's information</t>
  </si>
  <si>
    <t>HV-URE</t>
  </si>
  <si>
    <t>UND120 – Commercial Lines, Property, Casualty - indefinite</t>
  </si>
  <si>
    <t>Application #41</t>
  </si>
  <si>
    <t>HV-UWWB - Underwriter WorkBench</t>
  </si>
  <si>
    <t>This is a Workbench for task completion. documentation, and making underwriting decisions for Underwriters. Processing uses this workbench for task completion and documentation as well.</t>
  </si>
  <si>
    <t>Win2019</t>
  </si>
  <si>
    <t>Underwriter_Workbench database is used as its own db by the application.  SQL</t>
  </si>
  <si>
    <t>5463-HV-UWWB - Underwriter WorkBench</t>
  </si>
  <si>
    <t>Application #42</t>
  </si>
  <si>
    <t>HV-VOIP Services</t>
  </si>
  <si>
    <t>Web service to provide insured and agent data back to the agent or call center representative.</t>
  </si>
  <si>
    <t>SFTP, VSAM</t>
  </si>
  <si>
    <t>reads HV Clarify database, decom with clarify</t>
  </si>
  <si>
    <t>HV -Clarify</t>
  </si>
  <si>
    <t>Application #43</t>
  </si>
  <si>
    <t>HV-webMethods</t>
  </si>
  <si>
    <t>webMethods is the backbone of Harleysville SOA- and EDA-enablement and provides support for HTTP/s, FTP/s and SMTP transport protocols, messaging, SOAP web service, synch/asynch, service orchestration, logging, standardized error handling, etc. The webMethods Integration Platform enables realime and batch service integration between Harleysville's core insurance applications on both the Windows and IBM mainframe environments. SOA application.</t>
  </si>
  <si>
    <t>database is self supporting, creates its own db to store configuration.</t>
  </si>
  <si>
    <t>HV - All</t>
  </si>
  <si>
    <t>Application #44</t>
  </si>
  <si>
    <t>HV-Agent Portal</t>
  </si>
  <si>
    <t>Portal for agents to view his book of business, begin new business transaction and launch into applicable policy systems, gather agency reports, etc.</t>
  </si>
  <si>
    <t>Support</t>
  </si>
  <si>
    <t>Tony Brnic</t>
  </si>
  <si>
    <t>Download</t>
  </si>
  <si>
    <t>IADB - account-level data</t>
  </si>
  <si>
    <t>Application #45</t>
  </si>
  <si>
    <t>HV-AQS</t>
  </si>
  <si>
    <t>Policy administration for commercial lines.</t>
  </si>
  <si>
    <t>SFTP, Flat File</t>
  </si>
  <si>
    <t>HR_AQS_Policy, HR_AQS_Resource, HR_AQS_ResourceEdit,HR_AQS_ResourceTest,  HR_AQS_Document, HR_AQS_DocumentEdit, HR_AQS_Repository, HR_AQS_System, IADB, Global_IADB</t>
  </si>
  <si>
    <t>Application #46</t>
  </si>
  <si>
    <t>HV-Starteam</t>
  </si>
  <si>
    <t>Source management product that we have licensed for AQS. Need to save the source code.</t>
  </si>
  <si>
    <t>Source Code for AQS, data, forms and rates</t>
  </si>
  <si>
    <t>Starteam</t>
  </si>
  <si>
    <t>Application #47</t>
  </si>
  <si>
    <t>HV-Predictive Modeling</t>
  </si>
  <si>
    <t>Provides underwriting scoring on accounts based on policy information</t>
  </si>
  <si>
    <t>CICS, win2019, SQL2019</t>
  </si>
  <si>
    <t>Multilple Databases - collect non PII information that is used during rating/scoring</t>
  </si>
  <si>
    <t>Application #48</t>
  </si>
  <si>
    <t>HV-AIS</t>
  </si>
  <si>
    <t>Agency SQL database and services used throughout organization for agency validation.</t>
  </si>
  <si>
    <t>win2019, SQL2019</t>
  </si>
  <si>
    <t>copy of mainframe master</t>
  </si>
  <si>
    <t>HV- Agency Systems</t>
  </si>
  <si>
    <t>Application #49</t>
  </si>
  <si>
    <t>HV-Harleysville Enterprise Web Services (HEWS)</t>
  </si>
  <si>
    <t>Grouping of services, an application service function provided using network address over the web enabling communication between two systems.</t>
  </si>
  <si>
    <t>Uses various databases used by other apps.  Does not have it's own database</t>
  </si>
  <si>
    <t>Application #50</t>
  </si>
  <si>
    <t>HV-Question Answer Service</t>
  </si>
  <si>
    <t>Main service component for the URE application to determine questions to ask and then save responses Dependent on adding products.</t>
  </si>
  <si>
    <t>Question, Service_Log</t>
  </si>
  <si>
    <t>Application #51</t>
  </si>
  <si>
    <t>HV-Proxix (Corelogic)</t>
  </si>
  <si>
    <t>Vendor supplied Geo coding and territory information used by Duck Creek (Core Logic) and Commercial Lines (AQS)</t>
  </si>
  <si>
    <t>SQL2019, Win2019</t>
  </si>
  <si>
    <t>Monthly datasets provided by vendor.  ,DAT files</t>
  </si>
  <si>
    <t>Application #52</t>
  </si>
  <si>
    <t>HV-Melissa (address check)</t>
  </si>
  <si>
    <t>Vendor supplied information used to validate and scrub addresses for Duck Creek quotes and policies.</t>
  </si>
  <si>
    <t>HV-Melissa</t>
  </si>
  <si>
    <t>Application #53</t>
  </si>
  <si>
    <t>HV-Active PDF</t>
  </si>
  <si>
    <t>pdf images, batch print info</t>
  </si>
  <si>
    <t>Application #54</t>
  </si>
  <si>
    <t>HV-UW Assignment</t>
  </si>
  <si>
    <t>Web application for updating workflow routing within Image Right for Commercial Lines</t>
  </si>
  <si>
    <t>HV U/W names and ID's/ SQL</t>
  </si>
  <si>
    <t>HV-Imageright</t>
  </si>
  <si>
    <t>Application #55</t>
  </si>
  <si>
    <t>HV-Expiration</t>
  </si>
  <si>
    <t>Policy / Renewal tracking application</t>
  </si>
  <si>
    <t xml:space="preserve">Harleysville legacy system (policy summary index) for renewal processing of all personal and commercial policies both automated and manual and CICS, policy  info, renewal info, dates, indicators, term info, premium, bill acct, status, etc  (VSAM)
CORP00PV.AGCY.EXP.REN.MASTER.C
CORP00PV.AGCY.EXP.REN.IDX.C
</t>
  </si>
  <si>
    <t>6010-HV-Expiration</t>
  </si>
  <si>
    <t>Application #56</t>
  </si>
  <si>
    <t>HV-AQS Batch Print</t>
  </si>
  <si>
    <t>This is a custom .net application to package HVAQS Policy Output utilizing Active PDF. This component provides the bar coding on documents for Finishing. It also generates a transactional cover letter per Billing Account,applies the NY ID Card PDF417 bar code and packages new business and renewal output with the Agency Bill Schedule</t>
  </si>
  <si>
    <t>Input xml  received from  HV policy systems and images are created using this app and sent to HV-Q Direct for printing, images are fed to Imageright from HV-AQS not HV-BatchPrint.  Input PDFs are received from  from HV-AQS and HV-Peer Sync (to transfer pdfs to server)</t>
  </si>
  <si>
    <t>Application #57</t>
  </si>
  <si>
    <t>HV-Agency Licensing</t>
  </si>
  <si>
    <t>Capturing of agency and producer information from CMS G2 onto a SQL database, which is enriched with demographic and banking info from the Harleysville Agency Master file, providing agency licensing validation to Harleysville systems and a regular ETL feed to Nationwide DPIM and AMF systems</t>
  </si>
  <si>
    <t xml:space="preserve">Producer Data from Vertfore - </t>
  </si>
  <si>
    <t>ThirdParty Vertofore</t>
  </si>
  <si>
    <t>Application #58</t>
  </si>
  <si>
    <t>HV-ISO PPC</t>
  </si>
  <si>
    <t>3rd Party data source that integrates with Duck Creek and CL AQS to supply Property Protection Class base on geographic information</t>
  </si>
  <si>
    <t>ISOLocation API product updates stored on the  SQL database. Monthly updates received from 3rd party</t>
  </si>
  <si>
    <t>Application #59</t>
  </si>
  <si>
    <t>HV-CoreLogix Quarterly Update</t>
  </si>
  <si>
    <t>Comparison Utility CoreLogix is a leading provider of consumer, financial and property information, analytics and services to business and government</t>
  </si>
  <si>
    <t>Application #60</t>
  </si>
  <si>
    <t>HV-Bill Matrix</t>
  </si>
  <si>
    <t>3rd Party Vendor for on line payments -- an online payment system operated by BillMatrix Corporation that is designed to accept payments</t>
  </si>
  <si>
    <t>Credit card processing and one time EFT for Harleysville</t>
  </si>
  <si>
    <t>Application #61</t>
  </si>
  <si>
    <t>HV-Account Proposal</t>
  </si>
  <si>
    <t>Application that generates Account Proposal for CL agents</t>
  </si>
  <si>
    <t>Requests entered via  HV CL Agent Portal and Underwriter Workbench to generate real time Account Proposal generated using HV-Documaker. A PDF is returned to requesting user.  HV-Documaker does not store the pdf or send it to ImageRight.</t>
  </si>
  <si>
    <t>Application #62</t>
  </si>
  <si>
    <t>HV-AuditWin Plus</t>
  </si>
  <si>
    <t>Utility software used by field auditors to manage audit assignments, inventory and scheduling. Audit assignments are downloaded to the AuditWin Plus (formerly known as Field Manager) from Audit Control Environment (ACE).</t>
  </si>
  <si>
    <t>Service that retrieves data, no data is stored</t>
  </si>
  <si>
    <t>HV - ACE Premium Audit</t>
  </si>
  <si>
    <t>Application #63</t>
  </si>
  <si>
    <t>HV-ACCESS Collections</t>
  </si>
  <si>
    <t>3rd Party Vendor for collections agency -- With Access Collections, LLC you'll have the skill and expertise needed to collect your consumer debt, delivering improved cash flow and reduced days outstanding.</t>
  </si>
  <si>
    <t>File exchanges with 3rd party  on receivables</t>
  </si>
  <si>
    <t>Application #64</t>
  </si>
  <si>
    <t>HV-PNC Bank Feed</t>
  </si>
  <si>
    <t>3rd Party Vendor for agent sweep screens - PNC/Wells Fargo Bank</t>
  </si>
  <si>
    <t>Lockbox for Harleysville for Payments and stubs</t>
  </si>
  <si>
    <t>Application #65</t>
  </si>
  <si>
    <t>HV-AQS User SecurityLoad</t>
  </si>
  <si>
    <t>Utility to load new NW/Harleysville agents as Users to AQS.</t>
  </si>
  <si>
    <t>UserSecurityLoad SQL db</t>
  </si>
  <si>
    <t>Application #66</t>
  </si>
  <si>
    <t>HV-AQS - Doc Utility</t>
  </si>
  <si>
    <t>Doc Utility is used by AQS Configuration Analysts and Developers for adding and updating document data.</t>
  </si>
  <si>
    <t>AQS_Docs</t>
  </si>
  <si>
    <t>Application #67</t>
  </si>
  <si>
    <t>HV - eForms Generation App</t>
  </si>
  <si>
    <t>Generates ACORD COI (Certificate of Insurance) and EOP (Evidence of Property) forms currently used by the Service Center group. Minimal user entry required for form completion</t>
  </si>
  <si>
    <t>EFORM -   Acord form data</t>
  </si>
  <si>
    <t>HV-eForms Generation App</t>
  </si>
  <si>
    <t>Application #68</t>
  </si>
  <si>
    <t>HV-Hazard Grade Matrix (HGM)</t>
  </si>
  <si>
    <t>Application used by underwriters to get the Matrix Grade; also used by Product staff to update information for use in Underwriting decisions via an admin page.</t>
  </si>
  <si>
    <t>Joanne Nuzzi</t>
  </si>
  <si>
    <t>ISOMATRIXHGM - List of all hazard information.</t>
  </si>
  <si>
    <t>HV-HGM</t>
  </si>
  <si>
    <t>Application #69</t>
  </si>
  <si>
    <t>HV-CL Insured Account search tool</t>
  </si>
  <si>
    <t>CL Insured Account name search tool used by processing groups for a lookup of account and billing account \# info. A Link to Image Right is included</t>
  </si>
  <si>
    <t>CL Insured Account DB (IADB)</t>
  </si>
  <si>
    <t>Application #70</t>
  </si>
  <si>
    <t>7866</t>
  </si>
  <si>
    <t>HV-U279 Processing Form</t>
  </si>
  <si>
    <t>New business and renewal communication tool between Underwriting and Processing. Supports instructions for setting up billing and policies. Tool to generate a form for completion and save to Image Right for future updates.</t>
  </si>
  <si>
    <t>UND</t>
  </si>
  <si>
    <t>Application #71</t>
  </si>
  <si>
    <t>7944</t>
  </si>
  <si>
    <t>HV-PowerShell-BuildDeployment-Scripts</t>
  </si>
  <si>
    <t>Jenkins is the tool we use for developers to initiate the PowerShell scripts to do the build/deployment - This will be used to deploy AQS and WebMethods code (confirm if this is already gone, switch to urban code deploy)</t>
  </si>
  <si>
    <t>Application #72</t>
  </si>
  <si>
    <t>7954</t>
  </si>
  <si>
    <t>HV-Core Integration Svc</t>
  </si>
  <si>
    <t>Collection of web services utilized by numerous applications. A large number are used by UWWB and AQS NB and Renewal process</t>
  </si>
  <si>
    <t>Application #73</t>
  </si>
  <si>
    <t>7955</t>
  </si>
  <si>
    <t>HV-MVR Services</t>
  </si>
  <si>
    <t>Used by AQS and UWWB to request/access driver MVR records. MVR records are then stored in ImageRight. Also contains a batch component, that calls an external service, that scans public records for additional driver data that is then stored in a local database</t>
  </si>
  <si>
    <t>Application #74</t>
  </si>
  <si>
    <t>7956</t>
  </si>
  <si>
    <t>HV-Core Logic Svc</t>
  </si>
  <si>
    <t>Services that handle Hazard data for Property policies. Used by NB and Renewal processes</t>
  </si>
  <si>
    <t>Application #75</t>
  </si>
  <si>
    <t>7957</t>
  </si>
  <si>
    <t>HV-Billing Svc</t>
  </si>
  <si>
    <t>Services that support Billing</t>
  </si>
  <si>
    <t>Application #76</t>
  </si>
  <si>
    <t>7959</t>
  </si>
  <si>
    <t>HV-Update AQS Stat Feed</t>
  </si>
  <si>
    <t>nightly batch job (EDR0090</t>
  </si>
  <si>
    <t>Application #77</t>
  </si>
  <si>
    <t>8039</t>
  </si>
  <si>
    <t>HV-CLManuscripts</t>
  </si>
  <si>
    <t>HV-CLManuscripts CL Manuscripts (or CL Corporate Form) templates publish from CL Forms Sharepoint library to AgentPortal, UWWB, and AQS.Agent Portal –Supplemental applications and Questionaires, versions, and link to retrieve those forms once selected UWWB – Manuscript Templates – Forms/endorsements, versions, and a link to retrieve forms (same forms used for AQS) AQS – Manuscript endorsement titles and wording is used for AQS forms</t>
  </si>
  <si>
    <t>Application #78</t>
  </si>
  <si>
    <t>9999</t>
  </si>
  <si>
    <t>Commercial Auto</t>
  </si>
  <si>
    <t>All policy and quote data in BA, this is a supporting app with rates.</t>
  </si>
  <si>
    <t>Application #79</t>
  </si>
  <si>
    <t>0000</t>
  </si>
  <si>
    <t>Policy Management System (PMS) CalFarm</t>
  </si>
  <si>
    <t>Old CalFarm company acquired.</t>
  </si>
  <si>
    <t>Files and backup tapes from acquisition of CalFarm Insurance 4/1/1999. Migration was during 2000 - 2001</t>
  </si>
  <si>
    <t>Instructions</t>
  </si>
  <si>
    <r>
      <t xml:space="preserve">This questionnaire must be completed for all individual applications in-scope of decommissioning, under PCIO and HV platform. The information you provide is essential for Capgemini team to perform a thorough </t>
    </r>
    <r>
      <rPr>
        <b/>
        <sz val="14"/>
        <rFont val="Ubuntu"/>
        <family val="2"/>
      </rPr>
      <t>decommissioning assessment and creating decommissioning handbook</t>
    </r>
    <r>
      <rPr>
        <sz val="14"/>
        <rFont val="Ubuntu"/>
        <family val="2"/>
      </rPr>
      <t xml:space="preserve"> covering:
-Sizing the overall application landscape
-Grouping applications based on ownership, Target application status, and current status
-Planning stakeholder meetings, workshops in a structured and efficient manner
-Capturing the dependencies to be remediated / taken-care of before entire application is decommissioned
-Capture data archival requirements
Each response is required to assess the application in terms of technical feasibility, risk and criticality, PoA alignment.
At the end of the analysis phase, Capgemini will consolidate and share the </t>
    </r>
    <r>
      <rPr>
        <b/>
        <sz val="14"/>
        <rFont val="Ubuntu"/>
        <family val="2"/>
      </rPr>
      <t xml:space="preserve">master decom repository </t>
    </r>
    <r>
      <rPr>
        <sz val="14"/>
        <rFont val="Ubuntu"/>
        <family val="2"/>
      </rPr>
      <t xml:space="preserve">with all relevant stakeholders for data validation.
To simplify data entry, Capgemini has provided dropdown lists &amp; sample responses
</t>
    </r>
    <r>
      <rPr>
        <b/>
        <sz val="14"/>
        <rFont val="Ubuntu"/>
        <family val="2"/>
      </rPr>
      <t>Questionnaire Structure:</t>
    </r>
    <r>
      <rPr>
        <sz val="14"/>
        <rFont val="Ubuntu"/>
        <family val="2"/>
      </rPr>
      <t xml:space="preserve">
The questions are broadly categorized into the following sections:
General (Business &amp; Functional)
Risks
Application Dependency
Data
Compliance
Operations
Infra
Vendor
Financial</t>
    </r>
  </si>
  <si>
    <r>
      <rPr>
        <b/>
        <sz val="14"/>
        <rFont val="Garamond"/>
        <family val="1"/>
      </rPr>
      <t>Last updated: 27 Jan 2026</t>
    </r>
    <r>
      <rPr>
        <sz val="14"/>
        <rFont val="Garamond"/>
        <family val="1"/>
      </rPr>
      <t xml:space="preserve">
79 Apps in scope for decom: CLS Decom Master 2024.xlsx filter the column 'Decommissioning Planning Status' &gt; select the following
Not Started
In Progress - Planning
Out of 79, following 3 apps are being decommd this week (week of 27 Jan 2026) by NW
HV-Proxix (Corelogic)
HV-CoreLogix Quarterly Update
HV-Update AQS Stat Feed</t>
    </r>
  </si>
  <si>
    <t>#</t>
  </si>
  <si>
    <t>Line of Business</t>
  </si>
  <si>
    <t>Business Owner - SME Name</t>
  </si>
  <si>
    <t>App SME/Tech lead</t>
  </si>
  <si>
    <t>Access - UI
&lt;Data from NW master sheet&gt;</t>
  </si>
  <si>
    <t xml:space="preserve">Is this application / product in scope for decommissioning ? 
   </t>
  </si>
  <si>
    <t>Target decom end date based on  WBS</t>
  </si>
  <si>
    <t xml:space="preserve">Tech stack of the application
      </t>
  </si>
  <si>
    <t xml:space="preserve">What is database of the application
  </t>
  </si>
  <si>
    <t>Access - Batch/Bulk
&lt;NW Context; data from master sheet&gt;</t>
  </si>
  <si>
    <t>App Suite Dependency</t>
  </si>
  <si>
    <t>Dependencies (App Level)</t>
  </si>
  <si>
    <t xml:space="preserve">How long the historical/app data need to be maintained as per regulations?
   </t>
  </si>
  <si>
    <t>Provide all the Third party tools/vendors used by this application</t>
  </si>
  <si>
    <t>Planning Guide Document</t>
  </si>
  <si>
    <t>Planning Guide Doc Lead</t>
  </si>
  <si>
    <t>Next Steps</t>
  </si>
  <si>
    <t>Archive Pattern</t>
  </si>
  <si>
    <t>Archive Storage</t>
  </si>
  <si>
    <t>Data Access to Archive Data</t>
  </si>
  <si>
    <t>Must have( Present)</t>
  </si>
  <si>
    <t>Must have (Not present)</t>
  </si>
  <si>
    <t>Good to have (Present)</t>
  </si>
  <si>
    <t>Good to have (Not Present)</t>
  </si>
  <si>
    <t>Progress Percentage</t>
  </si>
  <si>
    <t>In scope for analysis</t>
  </si>
  <si>
    <t>Signed off by App SMEs</t>
  </si>
  <si>
    <r>
      <rPr>
        <b/>
        <sz val="10"/>
        <rFont val="Ubuntu"/>
        <family val="2"/>
      </rPr>
      <t xml:space="preserve">&lt;Free Text&gt;
</t>
    </r>
    <r>
      <rPr>
        <sz val="10"/>
        <rFont val="Ubuntu"/>
        <family val="2"/>
      </rPr>
      <t xml:space="preserve">Please mention whether the application is from PCIO or HV
</t>
    </r>
    <r>
      <rPr>
        <b/>
        <sz val="10"/>
        <rFont val="Ubuntu"/>
        <family val="2"/>
      </rPr>
      <t>//Info missing for some apps</t>
    </r>
  </si>
  <si>
    <r>
      <rPr>
        <b/>
        <sz val="10"/>
        <rFont val="Ubuntu"/>
        <family val="2"/>
      </rPr>
      <t xml:space="preserve">&lt;Free Text&gt;
</t>
    </r>
    <r>
      <rPr>
        <sz val="10"/>
        <rFont val="Ubuntu"/>
        <family val="2"/>
      </rPr>
      <t>Name of the business owner accountable for the application.
//Info missing for few apps</t>
    </r>
  </si>
  <si>
    <r>
      <rPr>
        <b/>
        <sz val="10"/>
        <rFont val="Ubuntu"/>
        <family val="2"/>
      </rPr>
      <t xml:space="preserve">&lt;Free Text&gt;
</t>
    </r>
    <r>
      <rPr>
        <sz val="10"/>
        <rFont val="Ubuntu"/>
        <family val="2"/>
      </rPr>
      <t xml:space="preserve">Name of the designated SME who can help with providing additional info about the app
</t>
    </r>
    <r>
      <rPr>
        <b/>
        <sz val="10"/>
        <rFont val="Ubuntu"/>
        <family val="2"/>
      </rPr>
      <t>//Info missing for few apps</t>
    </r>
  </si>
  <si>
    <r>
      <rPr>
        <b/>
        <sz val="10"/>
        <color rgb="FF000000"/>
        <rFont val="Ubuntu"/>
        <family val="2"/>
      </rPr>
      <t xml:space="preserve">&lt;Free text&gt;
</t>
    </r>
    <r>
      <rPr>
        <sz val="10"/>
        <color rgb="FF000000"/>
        <rFont val="Ubuntu"/>
        <family val="2"/>
      </rPr>
      <t>Whether the app is custom developed, acquired, 3rd Party product or COTS product?</t>
    </r>
  </si>
  <si>
    <r>
      <rPr>
        <b/>
        <sz val="10"/>
        <color rgb="FF000000"/>
        <rFont val="Ubuntu"/>
        <family val="2"/>
      </rPr>
      <t xml:space="preserve">&lt;Select from Drop-Down&gt;
</t>
    </r>
    <r>
      <rPr>
        <sz val="10"/>
        <color rgb="FF000000"/>
        <rFont val="Ubuntu"/>
        <family val="2"/>
      </rPr>
      <t>Front end, Back end, Both</t>
    </r>
  </si>
  <si>
    <r>
      <t xml:space="preserve">&lt;Free text&gt;
</t>
    </r>
    <r>
      <rPr>
        <sz val="10"/>
        <color rgb="FF000000"/>
        <rFont val="Ubuntu"/>
        <family val="2"/>
      </rPr>
      <t>E.g. Web Service, Desktop, Legacy application, IT Service, 
Infrastructure Service,
Utility, 3rd Party</t>
    </r>
  </si>
  <si>
    <t>&lt;From NW Master Data&gt;</t>
  </si>
  <si>
    <t>&lt;From NW Master Data&gt;
//Info missing for few apps</t>
  </si>
  <si>
    <r>
      <t xml:space="preserve">&lt;Free text&gt;
</t>
    </r>
    <r>
      <rPr>
        <sz val="10"/>
        <rFont val="Ubuntu"/>
        <family val="2"/>
      </rPr>
      <t>E.g. Yes/No/Already decommissioned/Decommissioning in progress</t>
    </r>
    <r>
      <rPr>
        <b/>
        <sz val="10"/>
        <rFont val="Ubuntu"/>
        <family val="2"/>
      </rPr>
      <t xml:space="preserve">
//Based on the Master Data shared by NW on 23 Jan 2026</t>
    </r>
  </si>
  <si>
    <t>&lt;Free text MM/DD/YY&gt;
//Based on the WBS on Feb 19th 2026</t>
  </si>
  <si>
    <r>
      <rPr>
        <b/>
        <sz val="10"/>
        <color rgb="FF000000"/>
        <rFont val="Ubuntu"/>
        <family val="2"/>
      </rPr>
      <t xml:space="preserve">&lt;Free Text&gt;
</t>
    </r>
    <r>
      <rPr>
        <sz val="10"/>
        <color rgb="FF000000"/>
        <rFont val="Ubuntu"/>
        <family val="2"/>
      </rPr>
      <t xml:space="preserve">(e.g., Mainframe COBOL, AS400, Java VB, DB2, C on Mainframes, .NET, SAP)
</t>
    </r>
    <r>
      <rPr>
        <b/>
        <sz val="10"/>
        <color rgb="FF000000"/>
        <rFont val="Ubuntu"/>
        <family val="2"/>
      </rPr>
      <t>//Need more details</t>
    </r>
  </si>
  <si>
    <r>
      <rPr>
        <b/>
        <sz val="10"/>
        <color rgb="FF000000"/>
        <rFont val="Ubuntu"/>
        <family val="2"/>
      </rPr>
      <t xml:space="preserve">&lt;Select from Drop-Down&gt;
</t>
    </r>
    <r>
      <rPr>
        <sz val="10"/>
        <color rgb="FF000000"/>
        <rFont val="Ubuntu"/>
        <family val="2"/>
      </rPr>
      <t>1-Very Low (Less than 5000 LoC)
2-Low (5000-10000 LoC)
3-Medium (10000-25000 LoC)
4-High (25000-50000 LoC)
5-Very High (&gt;50000 LoC)</t>
    </r>
  </si>
  <si>
    <r>
      <t xml:space="preserve">&lt;Free Text&gt;
</t>
    </r>
    <r>
      <rPr>
        <sz val="10"/>
        <color rgb="FF000000"/>
        <rFont val="Ubuntu"/>
        <family val="2"/>
      </rPr>
      <t xml:space="preserve">(e.g. DB2, VSAM, SQL Server ,Oracle, MongoDB) 
</t>
    </r>
    <r>
      <rPr>
        <b/>
        <sz val="10"/>
        <color rgb="FF000000"/>
        <rFont val="Ubuntu"/>
        <family val="2"/>
      </rPr>
      <t>//Need more details</t>
    </r>
  </si>
  <si>
    <r>
      <rPr>
        <b/>
        <sz val="10"/>
        <color rgb="FF000000"/>
        <rFont val="Ubuntu"/>
        <family val="2"/>
      </rPr>
      <t xml:space="preserve">&lt;Free Text&gt;
</t>
    </r>
    <r>
      <rPr>
        <sz val="10"/>
        <color rgb="FF000000"/>
        <rFont val="Ubuntu"/>
        <family val="2"/>
      </rPr>
      <t xml:space="preserve">Target application or point of arrival to which the application is being migrated / modernized / consolidated
</t>
    </r>
  </si>
  <si>
    <r>
      <rPr>
        <b/>
        <sz val="10"/>
        <color rgb="FF000000"/>
        <rFont val="Ubuntu"/>
        <family val="2"/>
      </rPr>
      <t xml:space="preserve">&lt;Free Text&gt;
</t>
    </r>
    <r>
      <rPr>
        <sz val="10"/>
        <color rgb="FF000000"/>
        <rFont val="Ubuntu"/>
        <family val="2"/>
      </rPr>
      <t>Date/Quarter
Date on which the application target / PoA will be ready</t>
    </r>
  </si>
  <si>
    <r>
      <rPr>
        <b/>
        <sz val="10"/>
        <color rgb="FF000000"/>
        <rFont val="Ubuntu"/>
        <family val="2"/>
      </rPr>
      <t xml:space="preserve">&lt;Free text&gt;
</t>
    </r>
    <r>
      <rPr>
        <sz val="10"/>
        <color rgb="FF000000"/>
        <rFont val="Ubuntu"/>
        <family val="2"/>
      </rPr>
      <t>Active-not isolated, Active-isolated, Not active-not isolated, not active-Isolated</t>
    </r>
  </si>
  <si>
    <r>
      <rPr>
        <b/>
        <sz val="10"/>
        <color rgb="FF000000"/>
        <rFont val="Ubuntu"/>
        <family val="2"/>
      </rPr>
      <t xml:space="preserve">&lt;Select from Drop down&gt;
</t>
    </r>
    <r>
      <rPr>
        <sz val="10"/>
        <color rgb="FF000000"/>
        <rFont val="Ubuntu"/>
        <family val="2"/>
      </rPr>
      <t>Number of years since initial production go‑live.
1 - 0 to 5 Years
2 - 5 to 10 Years
3 - 10-15 Years
4 - 15-20 years
5 - &gt;20 Years</t>
    </r>
  </si>
  <si>
    <r>
      <rPr>
        <b/>
        <sz val="10"/>
        <color rgb="FF000000"/>
        <rFont val="Ubuntu"/>
        <family val="2"/>
      </rPr>
      <t xml:space="preserve">&lt;Select from Drop-Down&gt;
</t>
    </r>
    <r>
      <rPr>
        <sz val="10"/>
        <color rgb="FF000000"/>
        <rFont val="Ubuntu"/>
        <family val="2"/>
      </rPr>
      <t>How long are these applications expected to stay before they are decommissioned? Ideally should be before the decom target date</t>
    </r>
  </si>
  <si>
    <t>&lt;From NW Master Data&gt;
//Need breakdown of incoming &amp; outgoing</t>
  </si>
  <si>
    <r>
      <t xml:space="preserve">&lt;Free Text&gt;
</t>
    </r>
    <r>
      <rPr>
        <sz val="10"/>
        <rFont val="Ubuntu"/>
        <family val="2"/>
      </rPr>
      <t>System of records</t>
    </r>
    <r>
      <rPr>
        <b/>
        <sz val="10"/>
        <rFont val="Ubuntu"/>
        <family val="2"/>
      </rPr>
      <t xml:space="preserve">
//Missing for some apps</t>
    </r>
  </si>
  <si>
    <t>&lt;Free Text&gt;
//Data filled from NW master sheet - Retention Requirement. Is it same for historical &amp; app data?</t>
  </si>
  <si>
    <r>
      <rPr>
        <b/>
        <sz val="10"/>
        <rFont val="Ubuntu"/>
        <family val="2"/>
      </rPr>
      <t xml:space="preserve">&lt;Select Drop Down List&gt; </t>
    </r>
    <r>
      <rPr>
        <sz val="10"/>
        <rFont val="Ubuntu"/>
        <family val="2"/>
      </rPr>
      <t xml:space="preserve">
Self- Explanatory
(1-&gt; Daily, 2-&gt; Weekly, 3-&gt; Monthly, 4-&gt; Fortnightly, 5-&gt; Annual)
If any of the tables has monthly backup frequency, mark this as annual</t>
    </r>
  </si>
  <si>
    <r>
      <rPr>
        <b/>
        <sz val="10"/>
        <rFont val="Ubuntu"/>
        <family val="2"/>
      </rPr>
      <t>&lt;Data from NW master - database disposition&gt;</t>
    </r>
    <r>
      <rPr>
        <sz val="10"/>
        <rFont val="Ubuntu"/>
        <family val="2"/>
      </rPr>
      <t xml:space="preserve">
(Archival, Purge, Retain)
</t>
    </r>
    <r>
      <rPr>
        <b/>
        <sz val="10"/>
        <rFont val="Ubuntu"/>
        <family val="2"/>
      </rPr>
      <t>//Info from NW Master data. is this same for historical &amp; app data?</t>
    </r>
  </si>
  <si>
    <t>Yes, 3 years retention and purge the data</t>
  </si>
  <si>
    <t> </t>
  </si>
  <si>
    <t>Personal Lines
PCIO Commercial Lines</t>
  </si>
  <si>
    <t>Schillaci-Beane, Lisa</t>
  </si>
  <si>
    <t>Michael Martin / Angie Pike</t>
  </si>
  <si>
    <t>Patty West</t>
  </si>
  <si>
    <t>In-house</t>
  </si>
  <si>
    <t>Application</t>
  </si>
  <si>
    <t>The app is no longer needed with the migration to the go forward CL PolicyCenter platform?</t>
  </si>
  <si>
    <t xml:space="preserve">DB2, CICs, Cobol, Batch, JCL, Changeman, UAC, VSAM, GDGs, </t>
  </si>
  <si>
    <t>CL Policy Center</t>
  </si>
  <si>
    <t>Same as PCIO</t>
  </si>
  <si>
    <t>Active, Not isolated?</t>
  </si>
  <si>
    <t xml:space="preserve"> &gt;20 Years</t>
  </si>
  <si>
    <t>3-6 Months</t>
  </si>
  <si>
    <t>Low</t>
  </si>
  <si>
    <t>Part of Group</t>
  </si>
  <si>
    <t>AID01.FPP.CONVERT.PATH.FILE.NBP.PC FTP(RECEIVE)
AID01.DISK.PAS.NIGHTUP.PYCR.FILE FTP(RECEIVE)
AID01.DISK.PATH.POLICY.INTFCE.TO.ECIF FTP(RECEIVE)
Mainframe Bonds - 913
Mainframe Commercial Property - 911
Mainframe Farm - 921
Mainframe General Liability (GLS) - 910
Foreign Assets-OFAC 1215
Mainframe Policy Entry - 924
Mainframe Package Control - 912
Mainframe Business Auto - 909
Mainframe Business Owners (SBO) - 923
Mainframe Workers Comp - 926
DB2 - Base - 5060</t>
  </si>
  <si>
    <t>FTP,Flat Files, GDGs, VSAM</t>
  </si>
  <si>
    <t>Mainframe Farm - 921
Mainframe Policy Entry - 924
DUDE.NIGHTUP.FTP.PATH.HSHLD.UPDT (GM1)
DUDE.NIGHTUP.FTP.PATH.DATALOAD.FMP(GM1)
ECIF.NIGHTUP.FTP.PATH.DATALOAD.FMP(GM1)</t>
  </si>
  <si>
    <t>912 Mainframe Package Control</t>
  </si>
  <si>
    <t>Specified in AH and AK</t>
  </si>
  <si>
    <t>Zero</t>
  </si>
  <si>
    <t>Personal Lines, PCIO Commercial Lines</t>
  </si>
  <si>
    <t>Purges Data that is over 4 years old</t>
  </si>
  <si>
    <t>Source code is stored in Changeman.  Documentation is stored in Sharepoint.</t>
  </si>
  <si>
    <t>30 days - App Specific</t>
  </si>
  <si>
    <t>20 - 30 Users</t>
  </si>
  <si>
    <t>Outdated Documentation</t>
  </si>
  <si>
    <t>YES</t>
  </si>
  <si>
    <t>Combined</t>
  </si>
  <si>
    <t>Patty/The Mechanics</t>
  </si>
  <si>
    <t>10/30-Not sure it is being used for householding ,Lisa and team to do more research on tables and ecosystem</t>
  </si>
  <si>
    <t>Esposito, Colleen</t>
  </si>
  <si>
    <t>Mike Hansen</t>
  </si>
  <si>
    <t>zOS, CICS, DB2 on zOS, COBOL, JCL, SQL, Batch Jobs, Files, Tapes, Tablebase, Verisk reporting (MVR), Lexus Nexus, Changeman, UAC</t>
  </si>
  <si>
    <t>DB2 on zOS, SQL, VSAM, Tape</t>
  </si>
  <si>
    <r>
      <t xml:space="preserve">The last policies on the system expire on 5/1/2026 and will migrate between 1/1/2026 and 11/1/2026 depending on the success of the migration. 
</t>
    </r>
    <r>
      <rPr>
        <b/>
        <sz val="11"/>
        <color theme="1"/>
        <rFont val="Calibri"/>
        <family val="2"/>
        <scheme val="minor"/>
      </rPr>
      <t>Target Application is Active from 2020</t>
    </r>
  </si>
  <si>
    <t>Agent Master File (993),Bureau Shared Systems (1416),CIC TS for zOS (5759),DW Eproduct (3905),Flex Billing (1009),Workload Engineering Solutions (8923),
Mainframe Package Control(912),  Policy Reload (1220),Mainframe Business Owners (923)</t>
  </si>
  <si>
    <t>FTP, MQ,API, Flat Files, VSAM</t>
  </si>
  <si>
    <t>Advice System (1207),Alpha Search (1208),Infogix ACR (7358),Claims Batch (P&amp;C)(4433),DW Eproduct (6861),Edit Daily (1415),
Policy Expirations (1418),Form Letter Correspondence incl. Proof of Mail (1211),Workload Engineering Solutions (8923),Pathway(DSM)(451),
Mainframe Package Control(912), Commercial PAK Print (4246),Remarks System (941),AG_AMI_AI_Download (882)</t>
  </si>
  <si>
    <t>FTP, MQ,API, Flat Files</t>
  </si>
  <si>
    <t>20 (Most of the reports are monthly, Some are annual)</t>
  </si>
  <si>
    <t>Policies are purged one year after expiration date from master files. Purged policy data is written to the tape files. Purged policy data is retained Indefinitely.
DELETE QUOTES 18 MONTHS AFTER EFFECTIVE DATE.
Purge Quote after 90 days if the quote is converted to policy.</t>
  </si>
  <si>
    <t>SLA is defined based on the type of user ( Power User, General User). Please refer RRC documenation for SLA details.</t>
  </si>
  <si>
    <t>2 days</t>
  </si>
  <si>
    <t>Source code is stored in Changeman.  Documentation is stored in Sharepoint.  Source code should be kept for 1 year.</t>
  </si>
  <si>
    <t>Tablebase, Verisk (DMV &amp; 3rd Party reporting), MVR</t>
  </si>
  <si>
    <t>Prasad/
Sunset-PCIO</t>
  </si>
  <si>
    <t>Set up meeting with Kristi on aligning on next steps and status.</t>
  </si>
  <si>
    <t>Hybrid (data Lakehouse + Glacier)</t>
  </si>
  <si>
    <t>P&amp;C Data Lakehouse</t>
  </si>
  <si>
    <t>Inquiry UI, API, Data Extract Process</t>
  </si>
  <si>
    <t>Signed off by Prasad on 02-18-2026</t>
  </si>
  <si>
    <t xml:space="preserve">zOS, DB2, CICS, COBOL, JCL, SQL 
Changeman </t>
  </si>
  <si>
    <t>7/31/2026 - 
Last policy has migrated to PC on 01/02/2026
Target Application is Active from 2020</t>
  </si>
  <si>
    <t>Agent Master File (993),Alpha Search (1208),Bureau Shared Systems (1416),CICS TS for zOS (5759),Mainframe Commercial Property (911),
DW Eproduct (3905),Flex Billing (1009),Workload Engineering Solutions (8923),Mainframe Package Control(912), Commercial PAK Print (4246),
Policy Reload (1220)</t>
  </si>
  <si>
    <t>Advice System (1207),Infogix ACR (7358),Claims Batch (P&amp;C)(4433),CICS TS for zOS (5759),DW Eproduct (3905),Edit Daily (1415),
Workload Engineering Solutions (8923),Policy Expirations (1418),Form Letter Correspondence incl. Proof of Mail (1211),
Pathway (DSM) (451),Mainframe Package Control(912), Commercial PAK Print (4246),Remarks System (941),AG_AMI_AI_Download (882)</t>
  </si>
  <si>
    <t>10 ( Most of the reports are monthly, Some are annual)</t>
  </si>
  <si>
    <t xml:space="preserve">AUSUM, Tablebase, Verisk reporting (MVR), Lexus Nexus, </t>
  </si>
  <si>
    <t>Commercial Property</t>
  </si>
  <si>
    <t>Rhonda Giedd</t>
  </si>
  <si>
    <t>Legacy Application</t>
  </si>
  <si>
    <t>The app is no longer needed with the migration to the go forward CL PolicyCenter platform</t>
  </si>
  <si>
    <t xml:space="preserve">zOS, DB2, CICS, COBOL, JCL, SQL , Tape, VSAM, GDG, UAC
Changeman </t>
  </si>
  <si>
    <t>Tape, DB2, VSAM, GDG</t>
  </si>
  <si>
    <t>7/31/2026
Last policy has migrated to PC on 01/02/2026
Target Application is Active from 2020</t>
  </si>
  <si>
    <t>Active, Not isolated</t>
  </si>
  <si>
    <t>AG2_2 – Agent Master file(993)
BSC-Bureau Shared Systems(1416)
CIC_2-CICS TS for zOS(5759)
DWS-DW Eproduct(3905)
DMP-Run Services(6861)
FPP-FLEX Billing(1009)
MIS-Workload Engineering Solutions(8923)
PPH_2-Coml PAK Print(4246)
PPJB005B-??
PPZ-Mainframe Package Control(912)
RLS-Policy Reload(1220)
SBO-Mainframe Business Owners(923)</t>
  </si>
  <si>
    <t>ADV-Advice System(1207)
BAL-Infogix ACR(7358)
BOJ-Claims Batch(4433)
CIC_2- CICS TS for zOS(5759)
CP2-Run services App DB2 Internal Activity(6861)
DWS- DW Eproduct(3905)
EDS_2-Edit Daily(1415)
EOG-Claims Batch(4433)
EXP-Policy Expirations(1418)
GLS-Mainframe General Liability(910)
MIS-Workload Engineering Solutions(8923)
MK2-Pathway-DesMoines(451)
PPH_2- Coml PAK Print(4246)
PPZ- Mainframe Package Control(912)
RMS-Remarks System(941)
TAD_2- AG_AMI_AI_ Download(882)</t>
  </si>
  <si>
    <t>27 ( Most of the reports are monthly, Some are annual)</t>
  </si>
  <si>
    <t>Tablebase, Verisk reporting,
Changeman</t>
  </si>
  <si>
    <t>115 (Most of the reports are monthly, Some are annual)</t>
  </si>
  <si>
    <t xml:space="preserve">Source code is stored in Changeman.  Documentation is stored in Sharepoint.  Manuscripts must be kept for XX years. </t>
  </si>
  <si>
    <t>Tablebase</t>
  </si>
  <si>
    <t>Policy processing system for Farm policies covering property and liability.</t>
  </si>
  <si>
    <t>Claims Batch (P&amp;C) (4433),Agent Master File (993),CICS TS for zOS (5759),Flex Billing (1009),Workload Engineering Solutions (8923),
Mainframe Package Control(912), Commercial PAK Print (4246),Policy Reload (1220)</t>
  </si>
  <si>
    <t>Advice System (1207),Infogix ACR (7358),Mainframe Commercial Property (911),DW Eproduct (3905),Edit Daily (1415),Policy Expirations (1418),
Run Services Application DB2 Internal Activity (6861),Workload Engineering Solutions (8923),Pathway(DSM)(451),Form Letter Correspondence incl. Proof of Mail (1211),
Mainframe Package Control(912), Commercial PAK Print (4246),AG_AMI_AI_Download (882)</t>
  </si>
  <si>
    <t>20 ( Most of the reports are monthly, Some are annual)</t>
  </si>
  <si>
    <t>Policies are purged one year after expiration date from master files. Purged policy data is written to the tape files. Purged policy data is retained Indefinitely.
DELETE QUOTES 18 MONTHS AFTER EFFECTIVE DATE/Last Changed date
Purge Quote after 90 days if the quote is converted to policy.</t>
  </si>
  <si>
    <t>Tablebase, Verisk reporting (MVR)</t>
  </si>
  <si>
    <t>Sunset-PCIO</t>
  </si>
  <si>
    <t>Mainframe Business Owners (SBO)?</t>
  </si>
  <si>
    <t xml:space="preserve">zOS, DB2, CICS, COBOL, VSAM, Tape, GDG, JCL, SQL,Copybooks, MQ, UAC, Changeman </t>
  </si>
  <si>
    <t>Workload Engineering Solutions (8923),Agent Master File (993),CICS TS for zOS (5759),Flex Billing (1009),Mainframe Package Control(912), Commercial PAK Print (4246),
Bureau Shared Systems (1416),Policy Reload (1220)</t>
  </si>
  <si>
    <t>Advice System (1207),Alpha Search (1208),Infogix ACR (7358),DW Commercial - eproduct (7597),CICS TS for zOS (5759),Mainframe Commercial Property (911),
DW Eproduct (3905),Edit Daily (1415),Allied Endorsements (940),Claims Batch (P&amp;C) (4433),Policy Expirations (1418),Workload Engineering Solutions (8923),
Pathway (DSM) (451),Code Cards-Manual Processing (1209),Mainframe Package Control(912), Commercial PAK Print (4246),Remarks System (941),AG_AMI_AI_Download (882)</t>
  </si>
  <si>
    <t xml:space="preserve">Yes. It is assumed that the archive system of choice will contain all of the necessary data for the BOP system.  This includes data from ‘final.ytd.purge’ tapes.  Therefore, all BOP backup tapes will be deleted. </t>
  </si>
  <si>
    <t>Tablebase, Verisk reporting</t>
  </si>
  <si>
    <t>AC2_2– Claims Batch(P&amp;C)-4433
CIC_2- CICS TS for zOS(5759)
FPP- FLEX Billing(1009)
MIS- Workload Engineering Solutions(8923)
PPH_2- Coml PAK Print(4246)
PPZ- Mainframe Package Control(912)
RLS- Policy Reload(1220)</t>
  </si>
  <si>
    <t>ADV- Advice System(1207)
BAL- Infogix ACR(7358)
CIC_2- CICS TS for zOS(5759)
DWS- DW Eproduct(3905)
EDS_2-Edit Daily(1415)
EOG- Claims Batch(4433)
EXP- Policy Expirations(1418)
MK2- Pathway-DesMoines(451)
PE2-Rus Services App DB2 Internal Activity(6861)
PPH_2- Coml PAK Print(4246)
PPZ- Mainframe Package Control(912)
Rem-Reminders(1221)
RMS- Remarks System(941)
TAD_2-AG_AMI_AI_ Download(882)
WCS-Mainframe Workers Comp(926)</t>
  </si>
  <si>
    <t>FTP, Flat Files</t>
  </si>
  <si>
    <t>34( Most of the reports are daily and monthly)</t>
  </si>
  <si>
    <t>Tablebase, Changeman</t>
  </si>
  <si>
    <t>Workers Compensation</t>
  </si>
  <si>
    <t>COBOL, JCL, SQL, CICS, zOS</t>
  </si>
  <si>
    <t>7/31/2026
Last policy has migrated to PC on 10/30/2025
Target Application is Active from 2020</t>
  </si>
  <si>
    <t>Mainframe Package Control(912), Commercial PAK Print (4246),Policy Reload (1220),Mainframe Business Owners (923)</t>
  </si>
  <si>
    <t>48 ( Most of the reports are monthly, Some are annual)</t>
  </si>
  <si>
    <t>Policies are purged 2 years after expiration date from master files. Purged policy data is written to the tape files. Purged policy data is retained Indefinitely.
DELETE QUOTES 18 MONTHS AFTER EFFECTIVE DATE/Last Changed date
Purge Quote after 90 days if the quote is converted to policy.</t>
  </si>
  <si>
    <t>Tablebase
Changeman</t>
  </si>
  <si>
    <t>Toni Crowder</t>
  </si>
  <si>
    <t>Support, Endorsement</t>
  </si>
  <si>
    <t xml:space="preserve"> CICs, Cobol, Batch, JCL, Changeman, UAC, VSAM, GDGs</t>
  </si>
  <si>
    <t xml:space="preserve">SA/PCIO, TADA jobs, DR jobs, UWSW0082 - Rerate running every week.  </t>
  </si>
  <si>
    <t>Source code to be retained in GitHub for atleast a year</t>
  </si>
  <si>
    <t>10/30-Potential needed to keep, Lisa and team going to do more research on it</t>
  </si>
  <si>
    <t>S3</t>
  </si>
  <si>
    <t>AWS S3</t>
  </si>
  <si>
    <t xml:space="preserve">
PCIO Commercial Lines</t>
  </si>
  <si>
    <t>Agent Master File - 993
Claims Batch (P&amp;C) - 4433 
Form Letter Correspondence incl. Proof of Mail - 1211Mainframe Bonds - 913 
Mainframe Policy Entry - 924
Mainframe Package Control - 912
Mainframe Commercial Property - 911
Mainframe Farm - 921
Mainframe General Liability (GLS) - 910
Mainframe Policy Entry - 924
Mainframe Business Owners (SBO) - 923
Mainframe Workers Comp - 926
Open Text Exstream - Z-OS - 4566
Workload Engineering Solutions - 8923</t>
  </si>
  <si>
    <t>DB2, VSAM, Flat Files</t>
  </si>
  <si>
    <t>Customer Quotes</t>
  </si>
  <si>
    <t>Data is kept indefinitely</t>
  </si>
  <si>
    <t>Source code is stored in Changeman.  Documentation is stored in Sharepoint.  The assembler source, no longer exists, just the object modules</t>
  </si>
  <si>
    <t>10/30- Lisa and team doing further research
John O’Neal confirmed that while there was no activity last week, the team’s new Sprint begins on September 11, and Alpha Search will be prioritized for Planning Guide development.
•	Planning cards have been created for all three applications, and work is expected to begin with Alpha Search first.
9/19/2025 - Will create the Planning Guide, but no lobor tied to it.  Will shut off with PCIO</t>
  </si>
  <si>
    <t>Non-usage</t>
  </si>
  <si>
    <t>Very Low</t>
  </si>
  <si>
    <t>Active, Isolated?</t>
  </si>
  <si>
    <t>Error Messages</t>
  </si>
  <si>
    <t>11/092025 - LSB - reviewing Decom for on-line and need final review of 
10/30- Lisa and Team doing more research on it</t>
  </si>
  <si>
    <t>Toni Crowder, Crystal McVey</t>
  </si>
  <si>
    <t>PCIO, SA</t>
  </si>
  <si>
    <t xml:space="preserve">11/14/2025 - used by Flex (go forward app) to retrieve purged billing accounts (look to move into Flex)
11/13/25 - AP - Moved back to Decomm &amp; Discard. Added back to WBS? Needs additional dev before discard. 
11/09/2025 - LSB - will evaluate for other options for data loads in Flex.   Not a big rock.  **PCIO &amp; P&amp;C - uses this.  Needed for litigation and need capability to print.
10/30- Lisa and Team do more research
Policy Reload – Decommission Planning Update
Progress Summary
•	Policy Reload has been identified as part of the early decommissioning track, currently targeted for March 31, 2026.
•	John O’Neal confirmed ownership of the application and acknowledged it is included in the decommission planning sheet.
•	As of the latest update, no active work has started on Policy Reload, but it is expected to be addressed in upcoming planning cycles.
•	The application will be considered alongside other early decommission candidates such as Alpha Search, Policy Expiration, and Microfilm Indexing, with prioritization based on team capacity and dependency analysis.
Next Steps
•	John to initiate Planning Guide development for Policy Reload in alignment with the early decommission timeline.
•	Evaluate system dependencies and business impact during planning to confirm feasibility of the March 2026 target.
•	Coordinate with relevant stakeholders to validate assumptions and identify any retention or integration requirements.
</t>
  </si>
  <si>
    <t xml:space="preserve"> </t>
  </si>
  <si>
    <t>Back end</t>
  </si>
  <si>
    <t xml:space="preserve"> CICs, Cobol, Batch, JCL, Changeman, UAC, VSAM, GDGs,DB2</t>
  </si>
  <si>
    <t>PCIO, eFile</t>
  </si>
  <si>
    <t xml:space="preserve">10/30- Lisa and team going to research-Is Bonds still tied to this?  Should this come off Decom list?
Policy Expiration – Decommission Planning Update
Policy Expiration is a legacy application tied to the PCIO platform. While no activity was reported as of mid-September, the application is part of the planning card set and is expected to follow the PCIO decommissioning timeline. Recent discussions confirm that the application is still in use and cannot be decommissioned until PCIO-related renewals are complete.
Progress Summary
Lisa Schillaci-Beane and John O’Neal confirmed the application is still active and required.
Decommissioning cannot proceed until PCIO renewals are complete.
Next Steps
Confirm PCIO Shutdown Timeline
Validate renewal completion dates and final shutdown schedule.
Ensure Policy Expiration decommissioning aligns with PCIO dependencies.
Update Planning Guide
Reflect dependency on PCIO and revised decommissioning timeline.
Include milestone tracking for renewals and shutdown readiness.
</t>
  </si>
  <si>
    <t>Decom and Discard</t>
  </si>
  <si>
    <t>Angie pike</t>
  </si>
  <si>
    <t>Internal Web App</t>
  </si>
  <si>
    <t>The app is no longer needed with the migration to the go forward CL PolicyCenter platform.</t>
  </si>
  <si>
    <t>Java, SQL</t>
  </si>
  <si>
    <t>Isolated?</t>
  </si>
  <si>
    <t>4 Months</t>
  </si>
  <si>
    <t xml:space="preserve">No  </t>
  </si>
  <si>
    <t>To be decided</t>
  </si>
  <si>
    <t>App Specific</t>
  </si>
  <si>
    <t>in Jan they were still using it….</t>
  </si>
  <si>
    <t>House Band development line</t>
  </si>
  <si>
    <t>to be confirmed</t>
  </si>
  <si>
    <t>Bill Mardis, Chaos Monkeys</t>
  </si>
  <si>
    <t xml:space="preserve">1/20-Planning guide started. Bill reached out to data warehouse. Sounds like they do have the data in data warehouse
</t>
  </si>
  <si>
    <t>Hybrid (data Lakehouse + Gacier)</t>
  </si>
  <si>
    <t>All LOBs</t>
  </si>
  <si>
    <t>Angie Pike</t>
  </si>
  <si>
    <t xml:space="preserve">The app is no longer needed once all PCIO accounts have expired.  </t>
  </si>
  <si>
    <t>AWS/Cloud,SQL Server,Java,Github</t>
  </si>
  <si>
    <t>Active</t>
  </si>
  <si>
    <t>6 Months</t>
  </si>
  <si>
    <t>eFile</t>
  </si>
  <si>
    <t>SFTP (docs put in a location, then eFile has process to pull in)</t>
  </si>
  <si>
    <t>Built together with COI (3065), CRN (1613) as CommServicing.  These other 2 apps are go-forward apps.</t>
  </si>
  <si>
    <t>Less than 10 past 30 days</t>
  </si>
  <si>
    <t>After all PCIO accounts have expired, they'll stop using this for amendments and use go-forward CL PolicyCenter platform for the migrated accounts</t>
  </si>
  <si>
    <t xml:space="preserve">1/20- Bill is going to do more research
</t>
  </si>
  <si>
    <t>All LOBs except FARM</t>
  </si>
  <si>
    <t>Cece Moore?</t>
  </si>
  <si>
    <t>Yes - Java application to request COI</t>
  </si>
  <si>
    <t>COBOL, CICS, zOS,MQ</t>
  </si>
  <si>
    <t>VSAM</t>
  </si>
  <si>
    <t>Certificate of Insurance Web application</t>
  </si>
  <si>
    <t>None</t>
  </si>
  <si>
    <t>All PCIO Apps</t>
  </si>
  <si>
    <t xml:space="preserve">
Set up meeting with Kristi on aligning on next steps and status.</t>
  </si>
  <si>
    <t>Michael Adamson</t>
  </si>
  <si>
    <t>Component</t>
  </si>
  <si>
    <t xml:space="preserve">10/30- Lisa and team will do more research, this may come off DECOM list
Commercial Renewal Reporting DB – Progress The application is tied to renewal-related data, and its relationship to Commercial Underwriting rules is being clarified. Initial target for decommissioning is Q1 2026, pending validation of dependencies and business impact.
Next Steps:
Planning Guide Development:
Begin Planning Guide work  to clarify system dependencies and validate assumptions.
Business Impact Assessment:
Evaluate feasibility of early decommissioning based on business needs and system interdependencies.
Documentation Alignment:
Ensure Planning Guide reflects the distinction between Commercial Underwriting rules and renewal info database.
Stakeholder Engagement:
Engage business and compliance teams to validate retention requirements and confirm decommissioning readiness.
</t>
  </si>
  <si>
    <t>UW</t>
  </si>
  <si>
    <t xml:space="preserve">10/30- Lisa and team doing more research
Commercial Underwriting DB – Progress Summary
The application stores renewal rules, which differ from the renewal info database used elsewhere. This distinction will be clarified during Planning Guide development. Initial decommissioning target is Q1 2026, pending validation of dependencies and business impact.
Next Steps:
Planning Guide Development:
Begin Planning Guide work  to clarify system dependencies and validate assumptions.
Business Impact Assessment:
Evaluate feasibility of early decommissioning based on business needs and system interdependencies.
Retention Review:
Confirm whether any data retention requirements apply to renewal rules stored in the database.
Stakeholder Engagement:
Use Planning Guide to engage stakeholders and validate readiness for decommissioning.
</t>
  </si>
  <si>
    <t>CL,PL</t>
  </si>
  <si>
    <t>Day Flanagan, Ricki</t>
  </si>
  <si>
    <t>Venkata Ranga Mahesh, Padarthi , Colleen Esposito</t>
  </si>
  <si>
    <t>No longer needed</t>
  </si>
  <si>
    <t>VSAM (DB2 ?)</t>
  </si>
  <si>
    <t>12-18 Months</t>
  </si>
  <si>
    <t>HV-Legacy Billing Systems, HV-PNC Bank Feed(external app?)</t>
  </si>
  <si>
    <t>2 apps</t>
  </si>
  <si>
    <t>SFTP, Files</t>
  </si>
  <si>
    <t>Frontier
(General ledger of NW)</t>
  </si>
  <si>
    <t>1 app</t>
  </si>
  <si>
    <t>SFTP</t>
  </si>
  <si>
    <t>5296 HV Legacy Billing Systems</t>
  </si>
  <si>
    <t>5296 HV-Legacy Billing Systems, HV-Legacy Billing Systems, HV-PNC Bank Feed(external app?)</t>
  </si>
  <si>
    <t>7 (4 Daily, 3 Weekly, 1 Monthly)</t>
  </si>
  <si>
    <t>DB2 tables - contain accounts receivable data.
prod.ARCV_STMNT_ELMNT
prod.ARCV_ACCT_STMNT</t>
  </si>
  <si>
    <t>RRC - 3 to 5 hrs SLA for retrieval</t>
  </si>
  <si>
    <t>Changeman -
(applicable for gitHub - 1 year retention for NW source code)
NOTE: changeman will get migrated to github - to confirm)</t>
  </si>
  <si>
    <t>CLS release management Team</t>
  </si>
  <si>
    <t>Already using go forward app</t>
  </si>
  <si>
    <t>Has only operational knowledge</t>
  </si>
  <si>
    <t>HV Billing</t>
  </si>
  <si>
    <t>Colleen Esposito</t>
  </si>
  <si>
    <t>10/30- Joy and Colleen are working on the requirements
Set up meeting with Kristi on aligning on next steps and status.</t>
  </si>
  <si>
    <t>Glacier</t>
  </si>
  <si>
    <t>AWS Glacier</t>
  </si>
  <si>
    <t>RRC</t>
  </si>
  <si>
    <t>Frank provided signed off on 02-18-2026</t>
  </si>
  <si>
    <t>The Agency billing system supports monthly billing and collection from each agent on a net premium basis (premium less commission). The agency bill premiums are for accounts of $50,000 or more.  The system provides a history of collection activity and provides detailed Information on all outstanding unpaid premium by agent. 
HV Legacy Billing Systems is a term used to describe both the agency and direct billing systems. In the agency billing setup, the insurer sends a monthly bill to the agent. The agent collects the premium from the customer and then forwards the payment to the insurer.</t>
  </si>
  <si>
    <t>Ricki Day</t>
  </si>
  <si>
    <t>Modernization</t>
  </si>
  <si>
    <t>Flex Bill</t>
  </si>
  <si>
    <t>already ready</t>
  </si>
  <si>
    <t>SurePay</t>
  </si>
  <si>
    <t>FTP</t>
  </si>
  <si>
    <t>5281 HV- Accounts Receivable</t>
  </si>
  <si>
    <t>7 ( which includes Daily, Weekly, Monthly)</t>
  </si>
  <si>
    <t>tbd</t>
  </si>
  <si>
    <t>Changeman</t>
  </si>
  <si>
    <t>This application is a legacy mainframe based platform consists of 4 key sub systems. which are Agency Master, Interface/Downloads, Performace, Expiration.</t>
  </si>
  <si>
    <t>Christina Ledbedder</t>
  </si>
  <si>
    <t>Venkata Ranga Mahesh, Padarthi</t>
  </si>
  <si>
    <t>AMF</t>
  </si>
  <si>
    <t>HV-Informatica, HV-Claims, HV-Legacy Billing Systems</t>
  </si>
  <si>
    <t>File</t>
  </si>
  <si>
    <t>5479 HV AQS</t>
  </si>
  <si>
    <t>all HV systems</t>
  </si>
  <si>
    <t>10 ( Approx)</t>
  </si>
  <si>
    <t>Frank Unger</t>
  </si>
  <si>
    <t>10/30- Joy and Colleen are working on the requirements
11/4- Frank to provide some samples to Joy
11/10 - INS1020 – Agency Administration - Active + 7 years
Set up meeting with Kristi on aligning on next steps and status.</t>
  </si>
  <si>
    <t>CL</t>
  </si>
  <si>
    <t>Angie Pike; Michael Martin</t>
  </si>
  <si>
    <t>HV-STAT</t>
  </si>
  <si>
    <t>Underwriting team</t>
  </si>
  <si>
    <t>5303 HV Stat</t>
  </si>
  <si>
    <t>HV-Midstream Stat</t>
  </si>
  <si>
    <t>MF Doc</t>
  </si>
  <si>
    <t>10/30- Colleen to review and see accelerated timelines
Set up meeting with Kristi on aligning on next steps and status.</t>
  </si>
  <si>
    <t>The Direct Bill system receives premium transactional data directly from the Commercial lines system and 
from the manual policy entry system from HUB processing on a daily basis.  
AQS is the front-end policy system for HV commercial lines which will be the source for billing system, Billing system maintains accounting entries for all the premium received in Account receivable and for all the refunds payments in account payable. 
Billing System provides input to the finance system to maintain the general ledger entries .</t>
  </si>
  <si>
    <t>HV-Agency Billing system, HV-STAT</t>
  </si>
  <si>
    <t>NW General Ledger</t>
  </si>
  <si>
    <t>HV-Stat</t>
  </si>
  <si>
    <t>11/6: 7 year retention requirement - FMA170 – Accounting Records
10/30- Joy and Colleen are working on the requirements
Set up meeting with Kristi on aligning on next steps and status.</t>
  </si>
  <si>
    <t>Boyer, Tricia &lt;BOYERT3@nationwide.com&gt;; Mc Clain, Tracy L &lt;tracy.mcclain@nationwide.com&gt;; Mixdorf, Matthew C &lt;MIXDORM@nationwide.com&gt;Kristen Troxel</t>
  </si>
  <si>
    <t>DB2 on zOS, GDG, VSAM, Tape</t>
  </si>
  <si>
    <t>Flex bill, HV-Informatica, HV-Clarify</t>
  </si>
  <si>
    <t>HV-Access Collection, HV-Bill Matrix, HV-PNC Bank Feed, NW General Ledger</t>
  </si>
  <si>
    <t>Policy Systems Agent Portal</t>
  </si>
  <si>
    <t>Monthly</t>
  </si>
  <si>
    <t>These files are purged differently from 1.5 to 5 years.If a policy has a balance it does not get purged until the balance is satisfied, then it is purged.</t>
  </si>
  <si>
    <t>BillMatrix, Access Collections LLC, PNC Bank Feed, Clarify CRM, VOIP Services, SurePay</t>
  </si>
  <si>
    <t>11/6:  7 year retention requirement - FMA170 – Accounting Records
10/30- Joy and Colleen are working on the requirements
Set up meeting with Kristi on aligning on next steps and status.</t>
  </si>
  <si>
    <t>PL</t>
  </si>
  <si>
    <t>Joanne Cartwright</t>
  </si>
  <si>
    <t>Dennis Schell</t>
  </si>
  <si>
    <t>VSAM and Non‑VSAM files</t>
  </si>
  <si>
    <t>PL Policy Center</t>
  </si>
  <si>
    <t>Files</t>
  </si>
  <si>
    <t>HV-Informatica, HV-STAT, HV-Documerge</t>
  </si>
  <si>
    <t>Mainframe Retirement Holistically</t>
  </si>
  <si>
    <t>11/6: VSAM files are needed for HV Claims
10/30- Colleen do more research on it, may be needed for claims
Set up meeting with Kristi on aligning on next steps and status.</t>
  </si>
  <si>
    <t>Data Lakehouse</t>
  </si>
  <si>
    <t>DB2, VSAM</t>
  </si>
  <si>
    <t>HV-Commerial Lines Legacy</t>
  </si>
  <si>
    <t xml:space="preserve"> 30-70GB</t>
  </si>
  <si>
    <t>P&amp;C Data Lakehouse + AWS Glacier</t>
  </si>
  <si>
    <t>Inquiry UI, API, Data Extract Process + RRC</t>
  </si>
  <si>
    <t>Linda Brockney</t>
  </si>
  <si>
    <t>Utility</t>
  </si>
  <si>
    <t>Flat files</t>
  </si>
  <si>
    <t>HV-Commercial Lines Legacy, HV-AQS, HV-Informatica</t>
  </si>
  <si>
    <t>Verisk (vendor for DMV reporting)</t>
  </si>
  <si>
    <t>HV-AQS, HV-Commercial Lines Legacy</t>
  </si>
  <si>
    <t>5( Approx)</t>
  </si>
  <si>
    <t>Verisk</t>
  </si>
  <si>
    <t>This application refers to Creation of Accouting/Stat records related to insurance ploicy premium for reporting and downstream processing.</t>
  </si>
  <si>
    <t>MF, Win2019, SQL2019, Informatica, SFTP</t>
  </si>
  <si>
    <t>6-12 Months</t>
  </si>
  <si>
    <t>DB calls</t>
  </si>
  <si>
    <t>HV-AQS, HV-STAT</t>
  </si>
  <si>
    <t>Changeman, Source code to be retained in GitHub for atleast a year</t>
  </si>
  <si>
    <t>George Schirripa</t>
  </si>
  <si>
    <t>IT Service</t>
  </si>
  <si>
    <t>WIN2019, IIS,SQL Server,C# .Net,Github, Jenkins, UCD</t>
  </si>
  <si>
    <t>I-frame</t>
  </si>
  <si>
    <t xml:space="preserve">HV-AQS  </t>
  </si>
  <si>
    <t>Blaze,Github, Jenkins, UCD</t>
  </si>
  <si>
    <t>HV Underwriting Rules</t>
  </si>
  <si>
    <t>11/7/2025- Obatined the retention requiremets, updated Master, Udated WBS, sent info to the business for OCM, schedueld meeting with the business
10/30- Colleen do more research on it
Set up meeting with Kristi on aligning on next steps and status.</t>
  </si>
  <si>
    <t>Krystal Smith</t>
  </si>
  <si>
    <t>Dan Croll</t>
  </si>
  <si>
    <t>WIN2019, SQL2019</t>
  </si>
  <si>
    <t>ACE, AQS</t>
  </si>
  <si>
    <t>ACE Audit Upload, HV-AQS, Batch Cycle</t>
  </si>
  <si>
    <t>Github, Jenkins, UCD</t>
  </si>
  <si>
    <t>Mike Kelly</t>
  </si>
  <si>
    <t>Linda Brockney
Amy Underwood</t>
  </si>
  <si>
    <t>Win2019, SQL2019 ( asp.net, c#.net, SQL, Webservices, IIS )</t>
  </si>
  <si>
    <t>Yes(SQL Server)</t>
  </si>
  <si>
    <t>HV-AQS, Batch Cycle</t>
  </si>
  <si>
    <t>3 daily</t>
  </si>
  <si>
    <t>70-100GB</t>
  </si>
  <si>
    <t xml:space="preserve">1/20- Frank is doing more research
</t>
  </si>
  <si>
    <t>Win2019, SQL2019,IIS,C# .Net,Github, Jenkins, UCD</t>
  </si>
  <si>
    <t>HV-Webmethods, HV-Rules Maintenance Application (RMA)</t>
  </si>
  <si>
    <t>API, DB calls</t>
  </si>
  <si>
    <t>HV-AQS, HV-Agent Portal</t>
  </si>
  <si>
    <t>more than 100GB</t>
  </si>
  <si>
    <t>11/7/2025- Obatined the retention requiremets, updated Master, Udated WBS, sent info to the business for OCM, schedueld meeting with the business
10/30- Colleen to do more research</t>
  </si>
  <si>
    <t xml:space="preserve">Smith, Krystal A 
Shewey, Dora A
</t>
  </si>
  <si>
    <t>3rd party</t>
  </si>
  <si>
    <t>Third Party Application</t>
  </si>
  <si>
    <t>Win2019, SQL2019, IIS</t>
  </si>
  <si>
    <t>MS-SQL</t>
  </si>
  <si>
    <t>AuSum</t>
  </si>
  <si>
    <t>HV-Mainframe, Claim Center</t>
  </si>
  <si>
    <t>ftp</t>
  </si>
  <si>
    <t>HV-Billing/HV-AQS</t>
  </si>
  <si>
    <t>flat file</t>
  </si>
  <si>
    <t>HV-AQS, HV-AuditWin Plus - Premium Audit Folder in ImageRight</t>
  </si>
  <si>
    <t>Yearly Support contract - 9/30 exp</t>
  </si>
  <si>
    <t>11/6: CL Premium audits falls under UND120 – Commercial Lines, Property, Casualty - indefinite
10/30- Colleen to do further research on this</t>
  </si>
  <si>
    <t>R. Hunter
T. Webber</t>
  </si>
  <si>
    <t>Clarify is a 3rd party application used for CRM</t>
  </si>
  <si>
    <t xml:space="preserve">Win2016, SQL Server 2016, Proprietary
IIS, C# .NET
VSAM, Flat Files, COBOL </t>
  </si>
  <si>
    <t>Yes - DB2, MS SQL Server</t>
  </si>
  <si>
    <t>Genisys</t>
  </si>
  <si>
    <t>HV-Mainframe</t>
  </si>
  <si>
    <t>HV-Voip Services</t>
  </si>
  <si>
    <t>5296 Legacy Billing System</t>
  </si>
  <si>
    <t>AQS, DCT, Billing,</t>
  </si>
  <si>
    <t xml:space="preserve">AmDocs/DoveTail
GitHub  </t>
  </si>
  <si>
    <t>10/30- Colleen to update retention column details
Set up meeting with Kristi on aligning on next steps and status.</t>
  </si>
  <si>
    <t>Michael Martin
Lori McCoy</t>
  </si>
  <si>
    <t>alex gamarnik, dan croll</t>
  </si>
  <si>
    <t>3rd Party IBM Cognos</t>
  </si>
  <si>
    <t>SSRS</t>
  </si>
  <si>
    <t>HV-Claims, HV-AQS</t>
  </si>
  <si>
    <t>5297 HV Legacy Claims</t>
  </si>
  <si>
    <t>HV - Legacy Claims, Policy ODS</t>
  </si>
  <si>
    <t>14 some scheduled, some on demand</t>
  </si>
  <si>
    <t>3-6 months</t>
  </si>
  <si>
    <t>Dedicated app, Shared db</t>
  </si>
  <si>
    <t>IBM Cognos</t>
  </si>
  <si>
    <t>Expires 12/2026</t>
  </si>
  <si>
    <t>Monthly
SQL = 6 @ $120.44  = $722.64
DPS (Backup) = 351 @ $.24  = $84.24
Web Server = 4 @ $14.51 =   $58.04
Total Infras. = $864.92
LICENSE COSTS = $1,436.25
Labor = $1,500.00
TOTAL = $3,801.17
ANNUAL TOTAL =  $45,804.00</t>
  </si>
  <si>
    <t>Cognos</t>
  </si>
  <si>
    <t>Alex Gamarnik
Dan Croll</t>
  </si>
  <si>
    <t xml:space="preserve">                                  
12/09/25 - 60% Complete on reWrite 
Rewrite &amp; Decommission Planning Update
Rewrite Progress: Approximately 60% complete.
Two reports have been fully rewritten.
A consolidated policyholder base report has been created, containing all required data.
This consolidated report enables faster extraction for sub-reports without returning to Cognos, accelerating progress.
Platform Decommissioning: Tracking separately; rewrite completion is a prerequisite for decommissioning.
Colleen clarified that while overall rewrite progress is 60%.
Key Achievements
Successfully extracted all necessary data into a single consolidated report.
Reduced dependency on Cognos for future report generation, enabling quicker migration.
Risks
Remaining rewrite tasks must be completed before platform decommission can proceed.
Any delays in sub-report extraction could impact overall timeline.
Next Steps
Complete remaining rewrite tasks and sub-report extractions.
Validate consolidated report accuracy and confirm business sign-off.
Begin planning for Cognos platform decommission once rewrite reaches 100%.
Provide updated completion percentage and timeline in next leadership review.
Current Status
Rewrite: 60% overall progress; 50% on core rewrite component.
Decommission: Pending rewrite completion; timeline to be finalized post-rewrite.</t>
  </si>
  <si>
    <t>CL, PL, Claims, Life, Financial Accounting</t>
  </si>
  <si>
    <t xml:space="preserve">Lindsey Moyer
Amy Olstedd
Linda Brockney
Kim Wysong
Billing ?
</t>
  </si>
  <si>
    <t>Print, Rules</t>
  </si>
  <si>
    <t>AWD and Filenet</t>
  </si>
  <si>
    <t>HV-Documerge, HV-Documaker, HV-Mainframe, HV-Agent Portal, HV-AQS, HV-Informatica, Doc Solutions, Exchange</t>
  </si>
  <si>
    <t>ftp,webmethods, file copy, email</t>
  </si>
  <si>
    <t>HV-AgentPortal, HV-UW Workbench,HV-Policy Browser</t>
  </si>
  <si>
    <t>HV-webMethods, IR Webservices</t>
  </si>
  <si>
    <t>5479 HV AQS, DCT, Billing, Claims, ACE Premium Audit</t>
  </si>
  <si>
    <t xml:space="preserve">HV-AQS, HV-DCT, HV-Billing, HV-Claims, HV-ACE Premium Audit, HV-Life, HV-UW Workbench, HV-webMethods, </t>
  </si>
  <si>
    <t>See rules for the differenct lines - PL, CL, Life, Claims, Financial</t>
  </si>
  <si>
    <t>ImageRight Doc</t>
  </si>
  <si>
    <t>11/7 - Images will be archived with their corresponding applications.  Tracking will be at the individual application level
10/30- Needed for claims but that can be solved by getting stuff outside from ImageRight  Big Rocks</t>
  </si>
  <si>
    <t>CL, PL, Claims, Agency</t>
  </si>
  <si>
    <t>Jay Mills - Actuarial</t>
  </si>
  <si>
    <t>Frank Unger, Korni, AnilReddy , Dennis Schell</t>
  </si>
  <si>
    <t>Yes - Admin Interface</t>
  </si>
  <si>
    <t>Win2019, SQL2019, Informatica, SFTP</t>
  </si>
  <si>
    <t>NW Informatica instance</t>
  </si>
  <si>
    <t>CL Policy Center, HV-AQS, HV-Predictive Modeling, HV-Legacy Claims, HV-Agency Licensing, HV-Agency Systems</t>
  </si>
  <si>
    <t>DB calls, files, sftp</t>
  </si>
  <si>
    <t>CL Policy Center, HV-AQS, HV-Claims, HV-Legacy Billing Systems, HV-Commercial Lines Legacy, HV-STAT, ADS, Salesforce, DPIM, AMF</t>
  </si>
  <si>
    <t>SFTP, Files, DB calls</t>
  </si>
  <si>
    <t>5479 HV AQS, DCT, Billing, Claims, Stat. Actuarial</t>
  </si>
  <si>
    <t>Processes all HV Data</t>
  </si>
  <si>
    <t>Informatica</t>
  </si>
  <si>
    <t>Handled by Enterprise Informatica Team</t>
  </si>
  <si>
    <t>10/30- Need to rewrite informatica workflows into Enterprise Informatica
Set up meeting with Kristi on aligning on next steps and status.</t>
  </si>
  <si>
    <t>Desktop Application</t>
  </si>
  <si>
    <t>Win2019, SQL2019,C# .Net,IIS</t>
  </si>
  <si>
    <t>11/7/2025- Obatined the retention requiremets, updated Master, Udated WBS, sent info to the business for OCM, schedueld meeting with the business</t>
  </si>
  <si>
    <t>Mike Kelly, Joanne Nuzzi</t>
  </si>
  <si>
    <t>Win2019,SQL Server ,IIS,C# .NET ,GitHub, Jenkins, UCD</t>
  </si>
  <si>
    <t>SQL server</t>
  </si>
  <si>
    <t>HV-Webmethods, HV-ImageRight, HV-CoreLogic Service,HV-Account Proposal,HV-Hazard Grade Matrix (HGM),HV-AIS,HV-MVR Services,HV-Billing Svc, Claim Center, HV-Cognos, HV-Underwriting Rules Engine (URE), SSRS Reports,</t>
  </si>
  <si>
    <t>webMethods</t>
  </si>
  <si>
    <t>HV-U279, HV-ImageRight</t>
  </si>
  <si>
    <t>webMethods, file copy</t>
  </si>
  <si>
    <t>HV-Cognos, HV-Underwriting Rules Engine (URE), SSRS Reports, HV-Core Integration Svcs, HV-Image Right, HV-AIS</t>
  </si>
  <si>
    <t xml:space="preserve">//Mentioned duration is in Days or Years?
UND115 - Commercial Lines: ACT+10 
UND120: Commercial Lines: IND 
ISY100 Application Documentation and Source Code *1 
ISY110 Disaster Recovery Plans *3 
ISY120 Back-up Tapes, Files and Data  MAX30 Days 
ISY130 Systems Technical Administration MAX3 Years 
ISY140 Technical Support Requests 3 
ISY150  Website Activity Logs 6M 
ISY160 Website Data Security Records 3 
ISY170 Information Security Testing 5 
LEG190 Contracts and Agreements / Software Licenses and Escrow Agreements *7 
LEG200 Contracts and Agreements / Vendors *7 </t>
  </si>
  <si>
    <t>GitHub, Jenkins</t>
  </si>
  <si>
    <t>N/a</t>
  </si>
  <si>
    <t>5000 Annual Run Support</t>
  </si>
  <si>
    <t xml:space="preserve"> Joanne Nuzzi</t>
  </si>
  <si>
    <t>1/21 - Joanne still working on the plan guide</t>
  </si>
  <si>
    <t>in-house</t>
  </si>
  <si>
    <t>SFTP, VSAM, Windows, IIS, C# .Net
Flat Files, COBOL</t>
  </si>
  <si>
    <t>DB2 MS SQL Server</t>
  </si>
  <si>
    <t>10-15 Years</t>
  </si>
  <si>
    <t>DB</t>
  </si>
  <si>
    <t>IVR</t>
  </si>
  <si>
    <t>API</t>
  </si>
  <si>
    <t>Clarify</t>
  </si>
  <si>
    <t>Github, Jenkins, UCD, Apigee, Harness</t>
  </si>
  <si>
    <t>CL, PL, Claims, Life</t>
  </si>
  <si>
    <t>3rd Party</t>
  </si>
  <si>
    <t>Yes - Developer IDE</t>
  </si>
  <si>
    <t>Java, Windows Server, SQL Server</t>
  </si>
  <si>
    <t>Apigee</t>
  </si>
  <si>
    <t>HV-ALL</t>
  </si>
  <si>
    <t>HV-All, Claim Center,</t>
  </si>
  <si>
    <t>API, DB Calls</t>
  </si>
  <si>
    <t>HV-Duck Creek, HV-AQS, HV-Agency Portal, HV-ImageRight</t>
  </si>
  <si>
    <t>Support Contract</t>
  </si>
  <si>
    <t>WebMethods Doc</t>
  </si>
  <si>
    <t>11/10- Date changed to 04/30/27</t>
  </si>
  <si>
    <t>Jamey Fauque</t>
  </si>
  <si>
    <t>.net</t>
  </si>
  <si>
    <t>Yes(MS SQL Server)</t>
  </si>
  <si>
    <t>Agent Center</t>
  </si>
  <si>
    <t>HV-AQS, SSRS, HV-Webmethods</t>
  </si>
  <si>
    <t>HV-Agent Portal, HV-IADB, HV-ImageRight, HV-AIS, HV-U279, HV-Underwriting Rules Engine (URE), HV - Harleysville Underwriting Guide, Claims Service, SSRS Reports, Account Propsal Services, Policy Holder Reports DB, HV Duck Creek,  HV AQS, HV-Mainframe CL, HV-WebMethods, HV-Melissa, HV Informatica, HV Legacy Billing,</t>
  </si>
  <si>
    <t>7 on-demand</t>
  </si>
  <si>
    <t>&gt;100</t>
  </si>
  <si>
    <t>Agent Portal</t>
  </si>
  <si>
    <t>10/30- Colleen to do more research on it</t>
  </si>
  <si>
    <t>dan croll</t>
  </si>
  <si>
    <t>3rd party / in-house</t>
  </si>
  <si>
    <t>HV-Informatica, HV-Webmethods, SSRS</t>
  </si>
  <si>
    <t>DB calls, API</t>
  </si>
  <si>
    <t>HV-Webmethods</t>
  </si>
  <si>
    <t>Policy Migration Services, HV Access Express, webMethods, agent portal</t>
  </si>
  <si>
    <t>19 daily</t>
  </si>
  <si>
    <t>IT</t>
  </si>
  <si>
    <t>Source Code</t>
  </si>
  <si>
    <t>db calls, source code</t>
  </si>
  <si>
    <t>db, sourc code</t>
  </si>
  <si>
    <t>Scott Woomer</t>
  </si>
  <si>
    <t>Dan Croll, Dennis Schell</t>
  </si>
  <si>
    <t>CICS, win2019, SQL2019, IIS,Duckcreek Author, asp.net, c#.net, SQL, Webservices,Melissa, Vintelligence, Proxix, ISOPPC, Documaker, MA RMA, Verisk reporting (MVR), Lexus Nexus,</t>
  </si>
  <si>
    <t>SQL</t>
  </si>
  <si>
    <t>HV-Informatica, HV-Webmethods</t>
  </si>
  <si>
    <t>db calls, api</t>
  </si>
  <si>
    <t>HV-AQS, HV-Quote Services, HV-Agent Portal</t>
  </si>
  <si>
    <t>HV-Shared Web Doc</t>
  </si>
  <si>
    <t>CL, PL</t>
  </si>
  <si>
    <t>win2019, SQL2019, asp.net, c#.net, SQL, Webservices, IIS</t>
  </si>
  <si>
    <t>Yes-SQL Server</t>
  </si>
  <si>
    <t>HV-Agency Licensings</t>
  </si>
  <si>
    <t>db call</t>
  </si>
  <si>
    <t xml:space="preserve">AQS, DCT, Agent Portal. </t>
  </si>
  <si>
    <t>1 daily</t>
  </si>
  <si>
    <t>win2019, SQL2019, C# .NET, IIS</t>
  </si>
  <si>
    <t>HV-Webmethods, HV-AQS</t>
  </si>
  <si>
    <t>n/a</t>
  </si>
  <si>
    <t xml:space="preserve">HV-IADB, </t>
  </si>
  <si>
    <t>Users already using Policy Center</t>
  </si>
  <si>
    <t>5 Server directory/folder</t>
  </si>
  <si>
    <t>2 (Prod/E2E)</t>
  </si>
  <si>
    <t>CVALIR Reporting</t>
  </si>
  <si>
    <t>win2019, SQL2019,IIS,C# .Net,Github, Jenkins, UCD</t>
  </si>
  <si>
    <t>HV-AQS, Agent Portal, HV URE</t>
  </si>
  <si>
    <t>11/7/2025- Obatined the retention requiremets, updated Master, Udated WBS, sent info to the business for OCM, schedueld meeting with the business
10/30- Colleen to do more research on it</t>
  </si>
  <si>
    <t>PL and CL</t>
  </si>
  <si>
    <t>Windows  ,C# .NET  , IIS, SQL Server, Github</t>
  </si>
  <si>
    <t>api</t>
  </si>
  <si>
    <t>HV-Duck Creek, HV-AQS</t>
  </si>
  <si>
    <t>Github, Jenkins, UCD, Melissa</t>
  </si>
  <si>
    <t>dan croll, laurie fernes</t>
  </si>
  <si>
    <t>HV-AQS, HV-WCReporting, HV-Documaker</t>
  </si>
  <si>
    <t>Active PDF will not have it's own document and will be inserted in each Planning Guide as needed
HV-Question Answer Service, HV Bill Matrix, HV EFT Services, HV BL registration DB, HV ISOMatrixHGM DB, HV ASPSessionState DB, Account Register(Global IADB), Clear quote, Agent Center, Policy Center, Experian, Recaptcha</t>
  </si>
  <si>
    <t>Active PDF</t>
  </si>
  <si>
    <t>Dan Croll,
 Laurie Fernes</t>
  </si>
  <si>
    <t>Lindsey Moyer
UW / Processing</t>
  </si>
  <si>
    <t>Front end</t>
  </si>
  <si>
    <t>HV-Agency Master</t>
  </si>
  <si>
    <t>HV-ImageRight, HV-Agent Portal</t>
  </si>
  <si>
    <t>DB, webMethods</t>
  </si>
  <si>
    <t>n/A</t>
  </si>
  <si>
    <t xml:space="preserve">The HV Expiration System is a mainframe-based application responsible for managing policy expiration data. It operates as part of a larger batch processing flow and is typically the last system to run before the CICS files are brought back online each day. </t>
  </si>
  <si>
    <t xml:space="preserve">VSAM </t>
  </si>
  <si>
    <t>HV-Commercial Lines Legacy, HV-Personal Lines Legacy</t>
  </si>
  <si>
    <t>files</t>
  </si>
  <si>
    <t>most HV systems ( Agency, Direct bill)</t>
  </si>
  <si>
    <t>3 (Daily)</t>
  </si>
  <si>
    <t>ChangeMan</t>
  </si>
  <si>
    <t>na</t>
  </si>
  <si>
    <t>db calls</t>
  </si>
  <si>
    <t>HV-AQS , HV-QDIRECT</t>
  </si>
  <si>
    <t>Venkata Ranga Mahesh, Padarthi , Frank Unger</t>
  </si>
  <si>
    <t>In-house / data sourced from 3rd party</t>
  </si>
  <si>
    <t>Win2019, SQL2019, 
asp.net, c#.net, 
SQL, Webservices, IIS</t>
  </si>
  <si>
    <t>AMF, EPOM</t>
  </si>
  <si>
    <t>EPOM (Vertafore files)</t>
  </si>
  <si>
    <t>HV-Webmethods, HV-Informatica</t>
  </si>
  <si>
    <t>API, DB calls, SFTP</t>
  </si>
  <si>
    <t>Angelia Pike</t>
  </si>
  <si>
    <t>Third Party</t>
  </si>
  <si>
    <t>HV-AQS, HV-Duckcreek</t>
  </si>
  <si>
    <t>HV-AQS  HV-Duck Creek</t>
  </si>
  <si>
    <t>Kubernetes</t>
  </si>
  <si>
    <t>Github, Harness, Kubernetes</t>
  </si>
  <si>
    <t>Andrea Shatto</t>
  </si>
  <si>
    <t>Vendor</t>
  </si>
  <si>
    <t>HV-Direct Bill
5478 HV-Agent Portal</t>
  </si>
  <si>
    <t>Handled by business</t>
  </si>
  <si>
    <t>Tony Brnic, Laurie Fernes</t>
  </si>
  <si>
    <t>Print</t>
  </si>
  <si>
    <t>HV-DOCUMAKER, AQS, HIEDMS</t>
  </si>
  <si>
    <t>Smith, Krystal A 
Shewey, Dora A</t>
  </si>
  <si>
    <t>Windows, IIS, Third party</t>
  </si>
  <si>
    <t>HV-ACE</t>
  </si>
  <si>
    <t>web service</t>
  </si>
  <si>
    <t>HV- ACE - Premium Audit</t>
  </si>
  <si>
    <t>Desktop application</t>
  </si>
  <si>
    <t>Mike kelly</t>
  </si>
  <si>
    <t>10/30- Collen to accelerate timeline</t>
  </si>
  <si>
    <t>Melissa Wood
Nick Ginther</t>
  </si>
  <si>
    <t>HV- Accounts Receivable</t>
  </si>
  <si>
    <t>Joanne Nuzzi  </t>
  </si>
  <si>
    <t>Vendor
No code is available, because 3rd party vendor</t>
  </si>
  <si>
    <t>Lock box - FTP</t>
  </si>
  <si>
    <t>HV-Direct Bill, HV-Life</t>
  </si>
  <si>
    <t>Security Audit</t>
  </si>
  <si>
    <t>Win2019,SQL Server ,IIS,C# .NET ,Github</t>
  </si>
  <si>
    <t>HV-UWWB</t>
  </si>
  <si>
    <t xml:space="preserve">&lt;Data treatment is mentioned as Discard&gt;
ISY100 
Application Documentation and Source Code 
*1 
ISY110
Disaster Recovery Plans 
*3 
ISY120 
Back-up Tapes, Files and Data  
MAX30 Days 
ISY130 
Systems Technical Administration 
MAX3 Years 
ISY140 
Technical Support Requests 
3
ISY150 
Website Activity Logs 
6M 
ISY160 
Website Data Security Records
3 
ISY170 
Information Security Testing 
5 
LEG190 
Contracts and Agreements / Software Licenses and Escrow Agreements 
*7 
LEG200 
Contracts and Agreements / Vendors 
*7 </t>
  </si>
  <si>
    <t>Github</t>
  </si>
  <si>
    <t xml:space="preserve">5000 Annual  Run cost </t>
  </si>
  <si>
    <t xml:space="preserve">1/20- Frank mentioned Joanne is looking into this
</t>
  </si>
  <si>
    <t>Tony Brnic, Joanne Nuzzi</t>
  </si>
  <si>
    <t>Windows, C# .NET, IIS</t>
  </si>
  <si>
    <t>HV-Webmethods, HV-AQS, HV-Agent Portal,HV - UWWW</t>
  </si>
  <si>
    <t>none</t>
  </si>
  <si>
    <t>3-4 hours</t>
  </si>
  <si>
    <t>Source code to be retained in GitHub for atleast a year
planning guide : Sharepoint, GitHub</t>
  </si>
  <si>
    <t>GitHub</t>
  </si>
  <si>
    <t>Jennifer Zaugg</t>
  </si>
  <si>
    <t>ADO .Net,  ASP .Net, C#.net, AJAX .Net, 
SQL, T-SQL, SQL CLR, CSS, XML, 
XSLT,  SOAP,  JavaScript, Jquery</t>
  </si>
  <si>
    <t>SQL Server </t>
  </si>
  <si>
    <t>AQS, Agent Portal, Workbench,</t>
  </si>
  <si>
    <t>Melissa, Experian, MSB, Sage, Mueller, 
Hagerty, Bill Matrix, Refcon, BingMaps, SmartWorks, 
TrustArc, Recaptcha, MS Enterprise Library, 
AjaxControlToolkit, HTMLAgilityPack, NewtonSoft, YUI library
Github, Jenkins, UCD</t>
  </si>
  <si>
    <t>Underwriting</t>
  </si>
  <si>
    <t xml:space="preserve">Windows,IIS,C# .NET   </t>
  </si>
  <si>
    <t xml:space="preserve">SQL Server  </t>
  </si>
  <si>
    <t>HV-Underwriter Workbench</t>
  </si>
  <si>
    <t>1/20- Frank mentioned Joanne is looking into this</t>
  </si>
  <si>
    <t>Dennis Schell, Dan Croll</t>
  </si>
  <si>
    <t>PowerShell</t>
  </si>
  <si>
    <t>Jenkins</t>
  </si>
  <si>
    <t>execution</t>
  </si>
  <si>
    <t>files, deploy</t>
  </si>
  <si>
    <t>AQS, Starteam</t>
  </si>
  <si>
    <t xml:space="preserve">deployment tool for AQS </t>
  </si>
  <si>
    <t>Windows,IIS,C# .NET , SQL Server,</t>
  </si>
  <si>
    <t>HV-Webmethods, HV-AQS, HV-Agent Portal</t>
  </si>
  <si>
    <t>AQS, HV-IADB, Quote Service</t>
  </si>
  <si>
    <t>Linda Brockney
Brenda Crossin</t>
  </si>
  <si>
    <t>Windows, IIS, C# .NET, SQL, GitHub</t>
  </si>
  <si>
    <t>HV-UWWB; webMethods; HV-AQS, Stat</t>
  </si>
  <si>
    <t>CL_Driver, Application_Log; MVR database on OHNALDB0199.nwie.net, 1021 can be deleted</t>
  </si>
  <si>
    <t>5000 Annual Run support</t>
  </si>
  <si>
    <t>MVR DOC</t>
  </si>
  <si>
    <t>External_Property_Data</t>
  </si>
  <si>
    <t>yes</t>
  </si>
  <si>
    <t>HV-Core Integration Svcs, HV-IADB, CL Legacy Service, Agent Portal</t>
  </si>
  <si>
    <t>HV-Billing</t>
  </si>
  <si>
    <t>HV-UWWB, HV-AgentPortal, HV-AQS</t>
  </si>
  <si>
    <t>NAS Shares</t>
  </si>
  <si>
    <t>same as HV-AQS</t>
  </si>
  <si>
    <t>This application/component doesn’t have its own database. It uses other databases ‘Renewal Automation’ and ‘APADB’</t>
  </si>
  <si>
    <t>3 Server directory/folder</t>
  </si>
  <si>
    <t>Andrea Amick</t>
  </si>
  <si>
    <t>zOS,CICS, DB2 on zOS, COBOL,JCL,SQL, Changeman</t>
  </si>
  <si>
    <t>Mainframe Business Auto (909)</t>
  </si>
  <si>
    <t>909 Mainframe Business Auto</t>
  </si>
  <si>
    <t>VSAM files for storing commercial auto rates and coverage codes</t>
  </si>
  <si>
    <t xml:space="preserve">App Id </t>
  </si>
  <si>
    <t>Decommissioning  Planning Status</t>
  </si>
  <si>
    <t xml:space="preserve">Decom Target Complete  </t>
  </si>
  <si>
    <t xml:space="preserve">Application Description  
</t>
  </si>
  <si>
    <t xml:space="preserve">SEPM  </t>
  </si>
  <si>
    <t>SME</t>
  </si>
  <si>
    <t>Big Rock</t>
  </si>
  <si>
    <t>Business Facing</t>
  </si>
  <si>
    <t>App Life  Cycle Phase</t>
  </si>
  <si>
    <t xml:space="preserve">Retirement Date - Date when Business No Longer Used
</t>
  </si>
  <si>
    <t>Count</t>
  </si>
  <si>
    <t xml:space="preserve">2017 Decommissioning Category </t>
  </si>
  <si>
    <t xml:space="preserve">2017   Decommissioning  Event </t>
  </si>
  <si>
    <t>2017                    Forecasted ARC (Directional)</t>
  </si>
  <si>
    <t>2018                      Forecasted  ARC                       (Directional)</t>
  </si>
  <si>
    <t>2018 Decommissioning Category</t>
  </si>
  <si>
    <t>2018      Decommissioning  Timeline</t>
  </si>
  <si>
    <t>2019 Decommissioning Category</t>
  </si>
  <si>
    <t>2019  Decommissioning  Timeline</t>
  </si>
  <si>
    <t>2019  Decommissioning  Timeline                            (Updates in red)</t>
  </si>
  <si>
    <t xml:space="preserve">2019                 Forecasted          ARC TCO    </t>
  </si>
  <si>
    <t xml:space="preserve">2019 Disb Code </t>
  </si>
  <si>
    <t>2020 Decommissioning Category</t>
  </si>
  <si>
    <t>2020  Decommissioning  Timeline</t>
  </si>
  <si>
    <t>2020  Decommissioning  Timeline                            (Updates in red)</t>
  </si>
  <si>
    <t>Database or Data Store</t>
  </si>
  <si>
    <t>System of Record</t>
  </si>
  <si>
    <t xml:space="preserve">Data Owner (System)
</t>
  </si>
  <si>
    <t>Database Disposition</t>
  </si>
  <si>
    <t>Retention Requirement</t>
  </si>
  <si>
    <r>
      <t xml:space="preserve">Access - API/Service
</t>
    </r>
    <r>
      <rPr>
        <sz val="9"/>
        <color theme="1"/>
        <rFont val="Calibri"/>
        <family val="2"/>
        <scheme val="minor"/>
      </rPr>
      <t xml:space="preserve"> (also in Planning Guide)</t>
    </r>
  </si>
  <si>
    <t>Access - UI</t>
  </si>
  <si>
    <t>Access - Batch/Bulk</t>
  </si>
  <si>
    <t>Immediate access needed for some period of time?</t>
  </si>
  <si>
    <t xml:space="preserve">Archive Pattern  </t>
  </si>
  <si>
    <t xml:space="preserve">Application Suite Dependency </t>
  </si>
  <si>
    <r>
      <rPr>
        <b/>
        <sz val="9"/>
        <color rgb="FF000000"/>
        <rFont val="Calibri"/>
        <family val="2"/>
        <scheme val="minor"/>
      </rPr>
      <t>Dependencies</t>
    </r>
    <r>
      <rPr>
        <sz val="9"/>
        <color rgb="FF000000"/>
        <rFont val="Calibri"/>
        <family val="2"/>
        <scheme val="minor"/>
      </rPr>
      <t xml:space="preserve"> (App Level)</t>
    </r>
  </si>
  <si>
    <t xml:space="preserve">Tech Contact </t>
  </si>
  <si>
    <t>Architect</t>
  </si>
  <si>
    <t>Business Contact</t>
  </si>
  <si>
    <t>SEPM Review Comments</t>
  </si>
  <si>
    <t>Comments - Actions NEEDED (2020)</t>
  </si>
  <si>
    <t>Suite</t>
  </si>
  <si>
    <t>Data Type</t>
  </si>
  <si>
    <t xml:space="preserve">Archive Storage </t>
  </si>
  <si>
    <t xml:space="preserve">Archive Target Start
</t>
  </si>
  <si>
    <t>Planview</t>
  </si>
  <si>
    <t xml:space="preserve">Application Run Cost (2024)  </t>
  </si>
  <si>
    <r>
      <t xml:space="preserve">Application Run Cost (2019) from </t>
    </r>
    <r>
      <rPr>
        <sz val="9"/>
        <color theme="1"/>
        <rFont val="Calibri"/>
        <family val="2"/>
        <scheme val="minor"/>
      </rPr>
      <t>APM
 (also in Planning Guide)</t>
    </r>
  </si>
  <si>
    <t>Contracts</t>
  </si>
  <si>
    <t>Infrastructure</t>
  </si>
  <si>
    <t>Agile Line</t>
  </si>
  <si>
    <t>Questions</t>
  </si>
  <si>
    <t>Location</t>
  </si>
  <si>
    <t>Planning Completion Date</t>
  </si>
  <si>
    <t>Planner Board Link</t>
  </si>
  <si>
    <t>Plan Guide Link</t>
  </si>
  <si>
    <t>Assess Business Stakeholders</t>
  </si>
  <si>
    <t>Business Next Steps</t>
  </si>
  <si>
    <t>Business Stakeholders Engaged</t>
  </si>
  <si>
    <t>Business Status</t>
  </si>
  <si>
    <t>Maintains customer information at the name and address level
1/6/2020 go forward as long as Agent Center continues to use
03/14/25: APRM indicates retirement 12/31/26; follow up with John to align on needing to add this to our decom list.
03/14/25: John approved this to be added to decom list.</t>
  </si>
  <si>
    <t>Production</t>
  </si>
  <si>
    <t>Go Forward</t>
  </si>
  <si>
    <t>DM</t>
  </si>
  <si>
    <t>Transformation</t>
  </si>
  <si>
    <t>Transformation: CLT</t>
  </si>
  <si>
    <t>PAK, CLaims, FLEX billing, Agent Master file, Forms System, Blackbox</t>
  </si>
  <si>
    <t>Scott Grau</t>
  </si>
  <si>
    <t>1/27/23 From Jen Reed; BOP and BA ISO feeds. When those policies finally roll off legacy the current ISO feeds need to be adjusted to follow the ETL process defined for all other LOB's coming thru Policy Center. Mike Hanson (Sunset team) currently managed these processes today.</t>
  </si>
  <si>
    <t>After 7/31/26</t>
  </si>
  <si>
    <t>Sunset</t>
  </si>
  <si>
    <t>Patty Stump</t>
  </si>
  <si>
    <t>CLaims, FLEX billing, Agent Master file, Forms System, Blackbox</t>
  </si>
  <si>
    <t>Transformation: PLT &amp; CLT</t>
  </si>
  <si>
    <t>Mark VanWyk</t>
  </si>
  <si>
    <t>Weekly farm bureau validation and annual farm dividends are processing CLT data.</t>
  </si>
  <si>
    <t>PAK, CLaims, FLEX billing, Agent Master file, Forms System, Marshall &amp; Swift, Property rates, Blackbox</t>
  </si>
  <si>
    <t>Transformation: CLT &amp; PLT</t>
  </si>
  <si>
    <t>PAK, Claims, FLEX billing, BAM billing, Agent Master file, Forms System</t>
  </si>
  <si>
    <t>Unit Stat and Dividends are processing CLT data as well</t>
  </si>
  <si>
    <t xml:space="preserve">Repository of policy endorsements available to Service Advantage policy systems, billing and TCS
1/11/25: John indicated decom
1/16/25: any MF DM would be using this to print. Need to find out if it is used in Billing. If it is tied to Billing it would be a go-forward. </t>
  </si>
  <si>
    <t>K Hatch</t>
  </si>
  <si>
    <t>D Mardis</t>
  </si>
  <si>
    <t xml:space="preserve">04/26/2021 - ED51 I've heard Agent Center has a tab (Reference Connect) that lets the agent see what forms "could have been" on the policy.  This consists of a list from the Endorsement system. I see a disclaimor now on AC to look somewhere else.  Is that good enough to allow us to retire as long as Bonds stops running on the MF? Didn't find files in JCL for Bonds
5/5 Confirm with K Newhall, concern that we wouldn't know what should have been on the policy, or could reference connect tell us that. </t>
  </si>
  <si>
    <t>Document Images</t>
  </si>
  <si>
    <t>Sravanthi Vanam</t>
  </si>
  <si>
    <r>
      <t>10/30- Lisa and team doing further research</t>
    </r>
    <r>
      <rPr>
        <sz val="9"/>
        <color theme="1"/>
        <rFont val="Calibri"/>
        <family val="2"/>
        <scheme val="minor"/>
      </rPr>
      <t xml:space="preserve">
John O’Neal confirmed that while there was no activity last week, the team’s new Sprint begins on September 11, and Alpha Search will be prioritized for Planning Guide development.
•	Planning cards have been created for all three applications, and work is expected to begin with Alpha Search first.</t>
    </r>
    <r>
      <rPr>
        <b/>
        <sz val="9"/>
        <color theme="1"/>
        <rFont val="Calibri"/>
        <family val="2"/>
        <scheme val="minor"/>
      </rPr>
      <t xml:space="preserve">
9/19/2025 - </t>
    </r>
    <r>
      <rPr>
        <sz val="9"/>
        <color theme="1"/>
        <rFont val="Calibri"/>
        <family val="2"/>
        <scheme val="minor"/>
      </rPr>
      <t>Will create the Planning Guide, but no lobor tied to it.  Will shut off with PCIO</t>
    </r>
  </si>
  <si>
    <t xml:space="preserve">Maintains customer information by policy at the customer name and address level
01/11/25: John indcated decom
01/16/25: it could happen now, just a few users left 
04/02/25: all remaining updates on status can be found on the Planner board. LInk is in the 2nd to last column in this spreadsheet.
07/16/25: need to verify if Claims is using this to search for policies.
</t>
  </si>
  <si>
    <t>Early Opportunity</t>
  </si>
  <si>
    <t>Transformation:CLT</t>
  </si>
  <si>
    <t>Tranformation: CLT</t>
  </si>
  <si>
    <t>Claims, PCIO, SA, Bonds</t>
  </si>
  <si>
    <t xml:space="preserve"> AS51; similar to Pathway, only shows PCIO, continued usage until policy system retired, need to understand user groups that may still want to see historical info
Archival length can be decided </t>
  </si>
  <si>
    <t>Maintains customer information by policy at the customer name and address level.</t>
  </si>
  <si>
    <t>Misc. Data and Rules</t>
  </si>
  <si>
    <t>https://planner.cloud.microsoft/webui/v1/plan/1k8FS6ivX0-5Af2zg0vx_2QAHmhP/view/board/task/BAIf77HArUCO_77BpT6TBGQAClD7?tid=22140e4c-d390-45c2-b297-a26c516dc461</t>
  </si>
  <si>
    <t>7/16 - Received list of users from J O'Neal</t>
  </si>
  <si>
    <t>Review feedback from "frequent" recent users.
Pending Plan Guide from John O'Neal.
Confirm dependencies and archive information is incorporated in Plan Guide</t>
  </si>
  <si>
    <t>Asked John O'Neal who is verifying claims use.
Limited use.  Sent to request for feedback to:  Valenta, Jamie; Retzlaff, Duke J; Borton, Jeff; Gdowski, Mark L; Schilling, Mindy M; Smith, Paul A; Flor, Tim D</t>
  </si>
  <si>
    <t>Sent request to users 8/11. Due 8/20.
T Flor indicates high need to retain</t>
  </si>
  <si>
    <t>Maintains a VSAM based common message file for the Service Avantage policy systems. The policy system requests a type of message and gets back a specific error correctly worded.
03/14/25: APRM indicates retirement 12/31/26; follow up with John to align on needing to add this to our decom list.
03/14/25: John approved this to be added to decom list.</t>
  </si>
  <si>
    <r>
      <rPr>
        <b/>
        <sz val="9"/>
        <color rgb="FF000000"/>
        <rFont val="Calibri"/>
        <family val="2"/>
      </rPr>
      <t xml:space="preserve">11/14/2025 - used by Flex (go forward app) to retrieve purged billing accounts (look to move into Flex)
11/13/25 - AP - Moved back to Decomm &amp; Discard. Added back to WBS? Needs additional dev before discard. 
</t>
    </r>
    <r>
      <rPr>
        <sz val="9"/>
        <color rgb="FF000000"/>
        <rFont val="Calibri"/>
        <family val="2"/>
      </rPr>
      <t xml:space="preserve">11/09/2025 - LSB - will evaluate for other options for data loads in Flex.   Not a big rock.  **PCIO &amp; P&amp;C - uses this.  Needed for litigation and need capability to print.
10/30- Lisa and Team do more research
Policy Reload – Decommission Planning Update
Progress Summary
•	Policy Reload has been identified as part of the early decommissioning track, currently targeted for March 31, 2026.
•	John O’Neal confirmed ownership of the application and acknowledged it is included in the decommission planning sheet.
•	As of the latest update, no active work has started on Policy Reload, but it is expected to be addressed in upcoming planning cycles.
•	The application will be considered alongside other early decommission candidates such as Alpha Search, Policy Expiration, and Microfilm Indexing, with prioritization based on team capacity and dependency analysis.
</t>
    </r>
    <r>
      <rPr>
        <b/>
        <sz val="9"/>
        <color rgb="FF000000"/>
        <rFont val="Calibri"/>
        <family val="2"/>
      </rPr>
      <t xml:space="preserve">Next Steps
</t>
    </r>
    <r>
      <rPr>
        <sz val="9"/>
        <color rgb="FF000000"/>
        <rFont val="Calibri"/>
        <family val="2"/>
      </rPr>
      <t xml:space="preserve">•	John to initiate Planning Guide development for Policy Reload in alignment with the early decommission timeline.
•	Evaluate system dependencies and business impact during planning to confirm feasibility of the March 2026 target.
•	Coordinate with relevant stakeholders to validate assumptions and identify any retention or integration requirements.
</t>
    </r>
  </si>
  <si>
    <t>Central point for customers to request a policy to be reloaded from back up files onto online policy systems.
1/6/2020 This would no longer be used after CLT, the archiving strategy will still be needed but not using MF
1/11/25: John indcated decom
1/16/25: we would decom and replace with records retention tool.
9/19/2025 - This will need to go with PCIO</t>
  </si>
  <si>
    <t>Solution to retire is in flight, different/new application would be created to perform the reload for PCIO, HV, CLT</t>
  </si>
  <si>
    <t>Process expiring policies. EXP on a monthly basis(end of month processing(EOM)) selects policies that are 105 days or less from expiring and generates reports such as NON-RENEWLs list, EXPIRATION list, etc. EXP also creates a monthly file of expiring policies that gets processed daily and any policy that is 73 days or less from expiring is written to EFILE and EFILE is sent to Columbus for further processing.
1/6/2020 Dawn was going to check impacts to Bonds
1/11/25: John indicates Go Forward until BONDS move off MF
1/16/25: Need to follow up with E&amp;S on whether they are using the output of this.
03/14/25: APRM indicates retirement 12/31/26; follow up with John to align on needing to add this to our decom list.
03/14/25: John approved this to be added to decom list.
9/19-2025 - Is Bonds still tied to this?  Should this come off Decom list?</t>
  </si>
  <si>
    <t>4/26/2021 - Need to verify that Bonds does not use Expirations, need to verify.  Nothing new once PCIO is moved. KA has steps with process to review/work these policies</t>
  </si>
  <si>
    <t>online calculator for Commercial Umbrella policies. This application is being used by Commercial Underwriters in PCIO Exclusive and Independent.(APRM says plan to retire 2024)</t>
  </si>
  <si>
    <t>Review</t>
  </si>
  <si>
    <r>
      <rPr>
        <b/>
        <sz val="9"/>
        <color theme="1"/>
        <rFont val="Calibri"/>
        <family val="2"/>
        <scheme val="minor"/>
      </rPr>
      <t>MAX</t>
    </r>
    <r>
      <rPr>
        <sz val="9"/>
        <color theme="1"/>
        <rFont val="Calibri"/>
        <family val="2"/>
        <scheme val="minor"/>
      </rPr>
      <t xml:space="preserve"> 5 years for quotes, need to determine</t>
    </r>
  </si>
  <si>
    <t>Mike Waytenick</t>
  </si>
  <si>
    <t>Cece Moore? Or other MM rep</t>
  </si>
  <si>
    <t>Need to determine length and business need for retention</t>
  </si>
  <si>
    <t>Chaos Monkeys</t>
  </si>
  <si>
    <t>8/18 - Received users from B Mardis(18 users)</t>
  </si>
  <si>
    <t>Reach out to users:
 - Is this required until all policies are migrated/expired on legacy?</t>
  </si>
  <si>
    <t>Bill Mardis, Sunset-PCIO/Chaos Monkeys</t>
  </si>
  <si>
    <t>1/20- Bill met with, Angie and Colleen this week. 
Angie went back to the business, had some conversations. Right now target turning off the web app in February.</t>
  </si>
  <si>
    <t>9/15/2025 - This is currently focused on the Web app only.  The DB2 databases are still needed.
The tables will be included with PCIO mainfram application.
This is the Rate Step Maintenance Application used by Commercial to maintain rate Steps for BOP, BA, &amp; Farm. Also, this project may go with a Minor Release sometime after the PC4.0-08 Release. (APRM says plan to retire 2024)
04/02/25: all remaining updates on status can be found on the Planner board. LInk is in the 2nd to last column in this spreadsheet.</t>
  </si>
  <si>
    <t>Do PCIO policy systems actually own database? Not needed once policies off the system. Archive rate steps, need to determine how long after last legacy policy we keep this before decommission the utility
11/10/21 This would be considered configuration/source code and we would folllow the source code retention requirement</t>
  </si>
  <si>
    <t>None/Manual, Data Extract Process</t>
  </si>
  <si>
    <t>https://planner.cloud.microsoft/webui/v1/plan/1k8FS6ivX0-5Af2zg0vx_2QAHmhP/view/board/task/FvrNUqXWwUOZde0IjrVmVmQAMZHp?tid=22140e4c-d390-45c2-b297-a26c516dc461</t>
  </si>
  <si>
    <t xml:space="preserve">Pending plan guide and user list from B Mardis. </t>
  </si>
  <si>
    <t>Allows agents to submit Commercial Change Requests via the Agent Center.
01/11/25: Jamie indicates decom.  
01/13/25: Per Bill Mardis…
CCRF Agent Center (2918) is one that will eventually get turned off.  CCRF is used for submitting amendment details for PCIO accounts.  Assume it will last a little longer than CIQ, but go away at some point as PCIO accounts continue to dwindle.  
Volume does continue to decrease every month in CCRF.  Probably a case later in 2025 to look at the usage and determine with the business if enough is coming through it to warrant continuing to support.    
-	Amendments submitted through CCRF
o	December 2024 - 49
o	November 2024 - 86
o	October 2024 - 81
o	September 2024 - 109
o	August 2024 - 174
o	July 2024 - 192
o	June 2024 - 244
o	May 2024 - 321
o	April 2024 - 365
o	March 2024 - 361
o	February 2024 – 395
o	January 2024 – 543
04/02/25: all remaining updates on status can be found on the Planner board. LInk is in the 2nd to last column in this spreadsheet.</t>
  </si>
  <si>
    <t xml:space="preserve">Application  </t>
  </si>
  <si>
    <t>Katherine H??</t>
  </si>
  <si>
    <t>Receives amendments for commercial policies. Input data for amendments and then sent back to policy systems when applies (make sure we communicate to agents plenty of time when shut down, stay up as long as policy apps are running)</t>
  </si>
  <si>
    <t>https://planner.cloud.microsoft/webui/v1/plan/1k8FS6ivX0-5Af2zg0vx_2QAHmhP/view/board/task/QtEKJWXvskSOPIXcSprlqWQAIYzT?tid=22140e4c-d390-45c2-b297-a26c516dc461</t>
  </si>
  <si>
    <r>
      <t xml:space="preserve">Commercial Mainframe COI processing/printing. 
12/19: Per Bill...The description in ServiceNow is wrong, </t>
    </r>
    <r>
      <rPr>
        <b/>
        <sz val="9"/>
        <color theme="1"/>
        <rFont val="Calibri"/>
        <family val="2"/>
        <scheme val="minor"/>
      </rPr>
      <t>it isn't connected to CIQ</t>
    </r>
    <r>
      <rPr>
        <sz val="9"/>
        <color theme="1"/>
        <rFont val="Calibri"/>
        <family val="2"/>
        <scheme val="minor"/>
      </rPr>
      <t>.  It is a mainframe interface used by COI web app (3065, owned by Jamie).  From the web app, users can say they want to start a certificate of insurance based on existing policies.  When this happens, the web app sends a request containing an account number to this mainframe COI piece.  The mainframe piece then sees if the PAK exists on PCIO mainframe, consolidates policy data from the various PCIO mainframe systems, and sends back an XML response of data used to prefill information for creating certificates of insurance.  Guessing the mainframe interface has to continue to run until all of the policies are off of PCIO mainframe or a business decision was made that the COI web app no longer needs to support creating COIs based on PCIO policy data.  I don't believe there is any unique data stores on the mainframe side for COI, think 4245 is just an interface that pulls together data from the PCIO policy systems and sends an XML response of relevant information.  (Seeing comments in the spreadsheet asking about PC COI.  The web app (3065) does support prefilling data for a certificate for both PCIO and PolicyCenter.  If the account exists on PolicyCenter, that data is obtained from a different service on the PC side.  So web app (3065) is go forward app because it pulls in PolicyCenter data, but mainframe interface (4245) is a candidate for being decommissioned whenever the need goes away for certificates prefilled with PCIO policy data.)</t>
    </r>
  </si>
  <si>
    <t>Infrastructure Service</t>
  </si>
  <si>
    <t>Moved from June to Matt's list…Matt has expertise, but still in June's name</t>
  </si>
  <si>
    <t>TBD Pending Research</t>
  </si>
  <si>
    <r>
      <rPr>
        <b/>
        <sz val="9"/>
        <color theme="1"/>
        <rFont val="Calibri"/>
        <family val="2"/>
        <scheme val="minor"/>
      </rPr>
      <t xml:space="preserve">10/30- Lisa and team will do more research, this may come off DECOM list
Commercial Renewal Reporting DB </t>
    </r>
    <r>
      <rPr>
        <sz val="9"/>
        <color theme="1"/>
        <rFont val="Calibri"/>
        <family val="2"/>
        <scheme val="minor"/>
      </rPr>
      <t xml:space="preserve">– Progress The application is tied to renewal-related data, and its relationship to Commercial Underwriting rules is being clarified. Initial target for decommissioning is Q1 2026, pending validation of dependencies and business impact.
</t>
    </r>
    <r>
      <rPr>
        <b/>
        <sz val="9"/>
        <color theme="1"/>
        <rFont val="Calibri"/>
        <family val="2"/>
        <scheme val="minor"/>
      </rPr>
      <t>Next Steps:</t>
    </r>
    <r>
      <rPr>
        <sz val="9"/>
        <color theme="1"/>
        <rFont val="Calibri"/>
        <family val="2"/>
        <scheme val="minor"/>
      </rPr>
      <t xml:space="preserve">
Planning Guide Development:
Begin Planning Guide work  to clarify system dependencies and validate assumptions.
</t>
    </r>
    <r>
      <rPr>
        <b/>
        <sz val="9"/>
        <color theme="1"/>
        <rFont val="Calibri"/>
        <family val="2"/>
        <scheme val="minor"/>
      </rPr>
      <t>Business Impact Assessment:</t>
    </r>
    <r>
      <rPr>
        <sz val="9"/>
        <color theme="1"/>
        <rFont val="Calibri"/>
        <family val="2"/>
        <scheme val="minor"/>
      </rPr>
      <t xml:space="preserve">
Evaluate feasibility of early decommissioning based on business needs and system interdependencies.
</t>
    </r>
    <r>
      <rPr>
        <b/>
        <sz val="9"/>
        <color theme="1"/>
        <rFont val="Calibri"/>
        <family val="2"/>
        <scheme val="minor"/>
      </rPr>
      <t>Documentation Alignment:</t>
    </r>
    <r>
      <rPr>
        <sz val="9"/>
        <color theme="1"/>
        <rFont val="Calibri"/>
        <family val="2"/>
        <scheme val="minor"/>
      </rPr>
      <t xml:space="preserve">
Ensure Planning Guide reflects the distinction between Commercial Underwriting rules and renewal info database.
</t>
    </r>
    <r>
      <rPr>
        <b/>
        <sz val="9"/>
        <color theme="1"/>
        <rFont val="Calibri"/>
        <family val="2"/>
        <scheme val="minor"/>
      </rPr>
      <t>Stakeholder Engagement:</t>
    </r>
    <r>
      <rPr>
        <sz val="9"/>
        <color theme="1"/>
        <rFont val="Calibri"/>
        <family val="2"/>
        <scheme val="minor"/>
      </rPr>
      <t xml:space="preserve">
Engage business and compliance teams to validate retention requirements and confirm decommissioning readiness.
</t>
    </r>
  </si>
  <si>
    <t>PCIO - Stores the U/W renewal rules and statistics to report against it. The database we own is for business driven Brio Reports measuring policies that Renew without being touched by underwriters. It also measures renewal errors that are triggering Underwriter activities to determine if the renewal rules need to be adjusted to meet the business needs. There are also reports that measure regional office renewal volume and premium.
1/11/25: John indcated decom
1/16/25: only being used for PCIO data. Once we are done migration, we could potentially shut down. We need to review the reports first if we want to do earlier, otherwise we shut down with PCIO.
11/09/25 - LSB - needed for PCIO</t>
  </si>
  <si>
    <t>Dawn Thompson ?</t>
  </si>
  <si>
    <r>
      <rPr>
        <b/>
        <sz val="9"/>
        <color theme="1"/>
        <rFont val="Calibri"/>
        <family val="2"/>
        <scheme val="minor"/>
      </rPr>
      <t>10/30- Lisa and team doing more research
Commercial Underwriting DB – Progress Summary</t>
    </r>
    <r>
      <rPr>
        <sz val="9"/>
        <color theme="1"/>
        <rFont val="Calibri"/>
        <family val="2"/>
        <scheme val="minor"/>
      </rPr>
      <t xml:space="preserve">
The application stores renewal rules, which differ from the renewal info database used elsewhere. This distinction will be clarified during Planning Guide development. Initial decommissioning target is Q1 2026, pending validation of dependencies and business impact.
</t>
    </r>
    <r>
      <rPr>
        <b/>
        <sz val="9"/>
        <color theme="1"/>
        <rFont val="Calibri"/>
        <family val="2"/>
        <scheme val="minor"/>
      </rPr>
      <t xml:space="preserve">Next Steps:
Planning Guide Development:
</t>
    </r>
    <r>
      <rPr>
        <sz val="9"/>
        <color theme="1"/>
        <rFont val="Calibri"/>
        <family val="2"/>
        <scheme val="minor"/>
      </rPr>
      <t xml:space="preserve">Begin Planning Guide work  to clarify system dependencies and validate assumptions.
</t>
    </r>
    <r>
      <rPr>
        <b/>
        <sz val="9"/>
        <color theme="1"/>
        <rFont val="Calibri"/>
        <family val="2"/>
        <scheme val="minor"/>
      </rPr>
      <t>Business Impact Assessment:</t>
    </r>
    <r>
      <rPr>
        <sz val="9"/>
        <color theme="1"/>
        <rFont val="Calibri"/>
        <family val="2"/>
        <scheme val="minor"/>
      </rPr>
      <t xml:space="preserve">
Evaluate feasibility of early decommissioning based on business needs and system interdependencies.
</t>
    </r>
    <r>
      <rPr>
        <b/>
        <sz val="9"/>
        <color theme="1"/>
        <rFont val="Calibri"/>
        <family val="2"/>
        <scheme val="minor"/>
      </rPr>
      <t>Retention Review:</t>
    </r>
    <r>
      <rPr>
        <sz val="9"/>
        <color theme="1"/>
        <rFont val="Calibri"/>
        <family val="2"/>
        <scheme val="minor"/>
      </rPr>
      <t xml:space="preserve">
Confirm whether any data retention requirements apply to renewal rules stored in the database.
</t>
    </r>
    <r>
      <rPr>
        <b/>
        <sz val="9"/>
        <color theme="1"/>
        <rFont val="Calibri"/>
        <family val="2"/>
        <scheme val="minor"/>
      </rPr>
      <t>Stakeholder Engagement:</t>
    </r>
    <r>
      <rPr>
        <sz val="9"/>
        <color theme="1"/>
        <rFont val="Calibri"/>
        <family val="2"/>
        <scheme val="minor"/>
      </rPr>
      <t xml:space="preserve">
Use Planning Guide to engage stakeholders and validate readiness for decommissioning.
</t>
    </r>
  </si>
  <si>
    <t>Marketing/Pricing/Underwriting Database - Monitors IA Agents productivity and IA Agents Quote to Issue Premium Variations. Owned by Underwriting. Web front-end that is owned by CIQ. Also produces and stores reports for Marketing, Pricing and Underwriting. Includes several BRIO queries. Underwriting owns BRIO queries, and Vicky Duke's area executes the BRIO queries.
1/11/25: John indcated decom
1/16/26: not sure there is anything CIQ related.  We would shut down with PCIO.</t>
  </si>
  <si>
    <t>Business Insights or Underwriting? Alicia Colins, Rob Chenowith</t>
  </si>
  <si>
    <r>
      <rPr>
        <b/>
        <sz val="9"/>
        <color theme="1"/>
        <rFont val="Calibri"/>
        <family val="2"/>
        <scheme val="minor"/>
      </rPr>
      <t>10/30- Joy and Colleen are working on the requirements</t>
    </r>
    <r>
      <rPr>
        <sz val="9"/>
        <color theme="1"/>
        <rFont val="Calibri"/>
        <family val="2"/>
        <scheme val="minor"/>
      </rPr>
      <t xml:space="preserve">
Set up meeting with Kristi on aligning on next steps and status.</t>
    </r>
  </si>
  <si>
    <t>Orphan</t>
  </si>
  <si>
    <t>Policy Platform</t>
  </si>
  <si>
    <t>73KA21001</t>
  </si>
  <si>
    <t>5296 HV-Legacy Billing Systems</t>
  </si>
  <si>
    <t>Mark Holsopple</t>
  </si>
  <si>
    <t>Accounting team inputs data into the system, then data is sent to NW GL accounting system. Need better understanding of screens, who uses and how</t>
  </si>
  <si>
    <t>HV CL</t>
  </si>
  <si>
    <t>Guidewire will not replace HV Legacy, all old policies and billing will need to fall off as move to CLT</t>
  </si>
  <si>
    <r>
      <rPr>
        <b/>
        <sz val="9"/>
        <color theme="1"/>
        <rFont val="Calibri"/>
        <family val="2"/>
        <scheme val="minor"/>
      </rPr>
      <t>10/30- Joy and Colleen are working on the requirements
11/4- Frank to provide some samples to Joy
11/10 - INS1020 – Agency Administration - Active + 7 years</t>
    </r>
    <r>
      <rPr>
        <sz val="9"/>
        <color theme="1"/>
        <rFont val="Calibri"/>
        <family val="2"/>
        <scheme val="minor"/>
      </rPr>
      <t xml:space="preserve">
Set up meeting with Kristi on aligning on next steps and status.</t>
    </r>
  </si>
  <si>
    <t>Agency</t>
  </si>
  <si>
    <t>Unplanned</t>
  </si>
  <si>
    <t>Rachael Wilford</t>
  </si>
  <si>
    <t>Is all the same info fed to other systems so that this data is no longer needed? This has a lot of info related to agent activity. Need to confirm with business stakeholders what access and for what reason it would be needed in the future</t>
  </si>
  <si>
    <r>
      <rPr>
        <b/>
        <sz val="9"/>
        <color theme="1"/>
        <rFont val="Calibri"/>
        <family val="2"/>
        <scheme val="minor"/>
      </rPr>
      <t>10/30- Colleen to review and see accelerated timelines</t>
    </r>
    <r>
      <rPr>
        <sz val="9"/>
        <color theme="1"/>
        <rFont val="Calibri"/>
        <family val="2"/>
        <scheme val="minor"/>
      </rPr>
      <t xml:space="preserve">
Set up meeting with Kristi on aligning on next steps and status.</t>
    </r>
  </si>
  <si>
    <t>CLT</t>
  </si>
  <si>
    <t>Cindy Budka</t>
  </si>
  <si>
    <t xml:space="preserve">Has a UI component, suggestion we check and see if anyone is using it. </t>
  </si>
  <si>
    <t>HV Leg Bill STAT</t>
  </si>
  <si>
    <r>
      <rPr>
        <b/>
        <sz val="9"/>
        <color theme="1"/>
        <rFont val="Calibri"/>
        <family val="2"/>
        <scheme val="minor"/>
      </rPr>
      <t>11/6: 7 year retention requirement - FMA170 – Accounting Records</t>
    </r>
    <r>
      <rPr>
        <sz val="9"/>
        <color theme="1"/>
        <rFont val="Calibri"/>
        <family val="2"/>
        <scheme val="minor"/>
      </rPr>
      <t xml:space="preserve">
10/30- Joy and Colleen are working on the requirements
Set up meeting with Kristi on aligning on next steps and status.</t>
    </r>
  </si>
  <si>
    <t>2019 Review</t>
  </si>
  <si>
    <t>pass through only</t>
  </si>
  <si>
    <r>
      <rPr>
        <b/>
        <sz val="9"/>
        <color theme="1"/>
        <rFont val="Calibri"/>
        <family val="2"/>
        <scheme val="minor"/>
      </rPr>
      <t xml:space="preserve">11/6:  7 year retention requirement - FMA170 – Accounting Records
</t>
    </r>
    <r>
      <rPr>
        <sz val="9"/>
        <color theme="1"/>
        <rFont val="Calibri"/>
        <family val="2"/>
        <scheme val="minor"/>
      </rPr>
      <t>10/30- Joy and Colleen are working on the requirements
Set up meeting with Kristi on aligning on next steps and status.</t>
    </r>
  </si>
  <si>
    <t>Harry Hermann</t>
  </si>
  <si>
    <t>Not sure billing info is indefinite, need to confirm.</t>
  </si>
  <si>
    <t>Billing, Check Data</t>
  </si>
  <si>
    <t xml:space="preserve">HV-Personal Lines Legacy </t>
  </si>
  <si>
    <r>
      <rPr>
        <b/>
        <sz val="9"/>
        <color theme="1"/>
        <rFont val="Calibri"/>
        <family val="2"/>
        <scheme val="minor"/>
      </rPr>
      <t xml:space="preserve">11/6: VSAM files are needed for HV Claims
</t>
    </r>
    <r>
      <rPr>
        <sz val="9"/>
        <color theme="1"/>
        <rFont val="Calibri"/>
        <family val="2"/>
        <scheme val="minor"/>
      </rPr>
      <t xml:space="preserve">
10/30- Colleen do more research on it, may be needed for claims
Set up meeting with Kristi on aligning on next steps and status.</t>
    </r>
  </si>
  <si>
    <t xml:space="preserve">Policy adminstration for Personal lines Homeowners, Automobile, Blanket Excess, Inland Marine, and Shipmate on the mainframe    </t>
  </si>
  <si>
    <t>PLT</t>
  </si>
  <si>
    <t>Transformation: PLT</t>
  </si>
  <si>
    <t>73EF21001</t>
  </si>
  <si>
    <t>Boris Shif</t>
  </si>
  <si>
    <t>Amy Olmstead</t>
  </si>
  <si>
    <t>There are about 1100 policies left in this system.  All Auto have been migrated.  Only a few Homeowners left.  Dwelling will begin non renewal process in June.  Umbrella migration is in progress.  Shipmate will be non-renewed starting later in 2021.</t>
  </si>
  <si>
    <t>HV PL</t>
  </si>
  <si>
    <t>Yes - HV-Oden (terminate 4/25)</t>
  </si>
  <si>
    <t>Accenture</t>
  </si>
  <si>
    <r>
      <rPr>
        <b/>
        <sz val="9"/>
        <color theme="1"/>
        <rFont val="Calibri"/>
        <family val="2"/>
        <scheme val="minor"/>
      </rPr>
      <t xml:space="preserve">11/6: VSAM files are needed for HV Claims
</t>
    </r>
    <r>
      <rPr>
        <sz val="9"/>
        <color theme="1"/>
        <rFont val="Calibri"/>
        <family val="2"/>
        <scheme val="minor"/>
      </rPr>
      <t>10/30- Colleen do more research on it, may be needed for claims
Set up meeting with Kristi on aligning on next steps and status.</t>
    </r>
  </si>
  <si>
    <t>10/31: no active policies since 2015.  App will be decom with MF.</t>
  </si>
  <si>
    <t>Retired</t>
  </si>
  <si>
    <t>73KD21001</t>
  </si>
  <si>
    <t>Used for reporting vehicle information to various state DMV agencies
4/19/21 Moved to Terry at Carolyn's request</t>
  </si>
  <si>
    <t>5307 - HV-Commercial Lines Legacy</t>
  </si>
  <si>
    <t>Tony Brnic, Sundar Elangovan Elangovan</t>
  </si>
  <si>
    <t>reporting vehicle info via LexisNexis. Retain as needed with an active policy to report the vehicle info. Since for auto, could decom with last policy (no tail for WC data and reporting)</t>
  </si>
  <si>
    <t>Chariots of Fire</t>
  </si>
  <si>
    <t>HV-AQS, HV-Claims, HV-Duckcreek, HV PL Legacy</t>
  </si>
  <si>
    <t>B. Shif</t>
  </si>
  <si>
    <t>Batch process, no database, as long as HV are processing transactions, this process will need to continue. Will stop after all HV transaction processing has stopped</t>
  </si>
  <si>
    <t>HV-AccessWeb - UWRulesEngineWebApp</t>
  </si>
  <si>
    <r>
      <rPr>
        <b/>
        <sz val="9"/>
        <color theme="1"/>
        <rFont val="Calibri"/>
        <family val="2"/>
        <scheme val="minor"/>
      </rPr>
      <t>11/7/2025- Obatined the retention requiremets, updated Master, Udated WBS, sent info to the business for OCM, schedueld meeting with the business
10/30- Colleen do more research on it</t>
    </r>
    <r>
      <rPr>
        <sz val="9"/>
        <color theme="1"/>
        <rFont val="Calibri"/>
        <family val="2"/>
        <scheme val="minor"/>
      </rPr>
      <t xml:space="preserve">
Set up meeting with Kristi on aligning on next steps and status.</t>
    </r>
  </si>
  <si>
    <t>73EA21001</t>
  </si>
  <si>
    <t>Greg Schreffler</t>
  </si>
  <si>
    <t>Data is used for Binding Authority to analyze agents answering questions and determine if policy needs to be referrred or can be binding.UI to answer questions for rules service.
11/10 Archive the data and the source code together, but would not need an archive/retrieve UI to view this data (keep more than the 1 year)</t>
  </si>
  <si>
    <t>Bosheng Lin</t>
  </si>
  <si>
    <t>De-comm w/ HV-AQS or earlier if business makes concessions to no longer process automateed audits for AQS policies</t>
  </si>
  <si>
    <t>win2012, SQL 2012</t>
  </si>
  <si>
    <r>
      <rPr>
        <b/>
        <sz val="9"/>
        <color theme="1"/>
        <rFont val="Calibri"/>
        <family val="2"/>
        <scheme val="minor"/>
      </rPr>
      <t>1/20- Frank is doing more research</t>
    </r>
    <r>
      <rPr>
        <sz val="9"/>
        <color theme="1"/>
        <rFont val="Calibri"/>
        <family val="2"/>
        <scheme val="minor"/>
      </rPr>
      <t xml:space="preserve">
</t>
    </r>
  </si>
  <si>
    <t>Renewal automation is a batch process (.net/sq.) that runs in the background on a nightly basis. The job gathers data from both legacy and AQS and flags 90 day expiration candidates for renewal. Some can issue automatically, others are flagged for manual intervention. Web Methods is the intermediary link between all the function.
03/05/26: 120 before July 2026 date, decom end of first quarter 2026
04/02/25: all remaining updates on status can be found on the Planner board. LInk is in the 2nd to last column in this spreadsheet.</t>
  </si>
  <si>
    <t>De-comm when last AQS policy has migrated to PC.</t>
  </si>
  <si>
    <t>https://planner.cloud.microsoft/webui/v1/plan/1k8FS6ivX0-5Af2zg0vx_2QAHmhP/view/board/task/h6E2B58ckkqafBK2VR3N22QACD-u?tid=22140e4c-d390-45c2-b297-a26c516dc461</t>
  </si>
  <si>
    <t xml:space="preserve">8/13/25 - There is no business user base for this. Scott G described it as a IT tool. </t>
  </si>
  <si>
    <t>N/A?</t>
  </si>
  <si>
    <t>8/20 - Colleen assessing viability of early decomm. Lack of SME resource and minimal value to early decommsion may result in delay.</t>
  </si>
  <si>
    <t>Ron Posatko</t>
  </si>
  <si>
    <t>Assortment of both rules and .net services to process Underwriting rules analyzation. Services consist of Market Segment, Account Authority - Renewals, System Determination, Underwriter type, Binding Authority - NewBusiness. Commercial only</t>
  </si>
  <si>
    <t>FICO Contract (terminated 12/28/24)</t>
  </si>
  <si>
    <t>Win2019, SQL 2019</t>
  </si>
  <si>
    <r>
      <t xml:space="preserve">11/6: CL Premium audits falls under UND120 – Commercial Lines, Property, Casualty - indefinite
</t>
    </r>
    <r>
      <rPr>
        <sz val="9"/>
        <color theme="1"/>
        <rFont val="Calibri"/>
        <family val="2"/>
        <scheme val="minor"/>
      </rPr>
      <t xml:space="preserve">
10/30- Colleen to do further research on this</t>
    </r>
  </si>
  <si>
    <t>Standalone</t>
  </si>
  <si>
    <t>73KB21001</t>
  </si>
  <si>
    <t xml:space="preserve">M. Kelly
</t>
  </si>
  <si>
    <t>Audit app process audit and audit data is uploaded to AQS and Billing, will pivot to PAM after CLT
6/22 need to follow up with colleen on retention requirements</t>
  </si>
  <si>
    <t>Yes - Business Owned</t>
  </si>
  <si>
    <t>Dangerous Forest</t>
  </si>
  <si>
    <r>
      <rPr>
        <b/>
        <sz val="9"/>
        <color theme="1"/>
        <rFont val="Calibri"/>
        <family val="2"/>
        <scheme val="minor"/>
      </rPr>
      <t>10/30- Colleen to update retention column details</t>
    </r>
    <r>
      <rPr>
        <sz val="9"/>
        <color theme="1"/>
        <rFont val="Calibri"/>
        <family val="2"/>
        <scheme val="minor"/>
      </rPr>
      <t xml:space="preserve">
Set up meeting with Kristi on aligning on next steps and status.</t>
    </r>
  </si>
  <si>
    <t>CRM Tool for Contact Center and Service Center
11/20: Add to MF Planning Guide.</t>
  </si>
  <si>
    <t>J. Whitman</t>
  </si>
  <si>
    <t>WIN 2016, SQL 2019</t>
  </si>
  <si>
    <t xml:space="preserve">Query report and analysis capabilities for all type of data. A component of COGNOS is Analyst Studio, which also needs to be tested whenever any type of upgrade occurs.
4/14/21 Lisa Berke having discussions to move forward on decom for this
1/24/22 Decom with HV BSA per Colleen. (CL Claims, Life, actuarial etc reporting) Update master dependency
10/23/24 Terry mentioned cost is $24,500, discussed some of the earlier cost numbers likely included contractors, more usage/consumption, etc. 
04/02/25: all remaining updates on status can be found on the Planner board. LInk is in the 2nd to last column in this spreadsheet.
</t>
  </si>
  <si>
    <t>Alex Gamarnik</t>
  </si>
  <si>
    <t>Harleysville Platform</t>
  </si>
  <si>
    <t>HV-Legacy Claims (5297),HV- AQS (5479)</t>
  </si>
  <si>
    <t xml:space="preserve">Effort with Lisa Berke to begin the decom process. All HV run budget was assumed as going away and claimed as a CLT benefit. </t>
  </si>
  <si>
    <t>Query report and analysis capabilities for all type of data. A component of COGNOS is Analyst Studio, which also needs to be tested whenever any type of upgrade occurs.
4/14/21 Lisa Berke having discussions to move forward on decom for this    6/6/24 - Need to be decommissioned in 2024 to save expenses. This came out of Guru's consumption reduction effort</t>
  </si>
  <si>
    <t>Other Early Adopt</t>
  </si>
  <si>
    <t>Yes - $17,325/year
Cognos license expires in 12/21/26
Lori McCoy</t>
  </si>
  <si>
    <t>WIN 2016, SQL 2016</t>
  </si>
  <si>
    <t>https://planner.cloud.microsoft/webui/v1/plan/1k8FS6ivX0-5Af2zg0vx_2QAHmhP/view/board/task/mckD7PV3AUGVepe7VB8VpGQAI58x?tid=22140e4c-d390-45c2-b297-a26c516dc461</t>
  </si>
  <si>
    <t>HV_COGNOS_Plan_Guide.docx</t>
  </si>
  <si>
    <t>Link to tracking workbook: Cognos Report List July 2024.xlsx</t>
  </si>
  <si>
    <t xml:space="preserve">Pending estimates and recommendation from IT. </t>
  </si>
  <si>
    <t>See tracking workbook.</t>
  </si>
  <si>
    <t xml:space="preserve">· 35 reports hidden from view – not needed/used
· 30 reports needed until migration is complete
13 reports need a new solution
8/7 - Recommend rewriting the 13 reports to SQL Reporting Svsc. IT working on estimates/run costs. </t>
  </si>
  <si>
    <t xml:space="preserve">HV-ImageRight </t>
  </si>
  <si>
    <t>Imaging and workflow management system from Vertafore. This system is used to capture policy, underwriting and claims workflow and documentation. Images can be introduced into this system in various ways such as scanning, printing, and email.
Archive tool is a dependency.
12/19: right now using ImageRight for some archival including PL, once IR is archived, they will need to go to the archival tool once it is ready.</t>
  </si>
  <si>
    <t>AQS, DCT, Billing, Claims, ACE Premium Audit</t>
  </si>
  <si>
    <t>M. Kelly</t>
  </si>
  <si>
    <t>Maintains legacy u/w file (all incoming correspondence and output), u/w docs for PL and CL, maintains docs for legacy claims (receive feed from Documerge
6/30/21 per L. Moyer; folks are using ImageRight for their ClaimCenter claims as a document passthrough. ImageRight monitors mailboxes and pulls docs in automatically, creates tasks and routes to right person.  When it recognizes a CC claim number, the doc is ftp'd to FileNet and then appears in ClaimCenter, with a notice to the associate that it's there.  There is no direct way to do this into CLaimcenter - so they use this creative workaround.</t>
  </si>
  <si>
    <t>Yes - Contract Terminated Feb 2024</t>
  </si>
  <si>
    <r>
      <rPr>
        <b/>
        <sz val="9"/>
        <color theme="1"/>
        <rFont val="Calibri"/>
        <family val="2"/>
        <scheme val="minor"/>
      </rPr>
      <t>10/30- Need to rewrite informatica workflows into Enterprise Informatica</t>
    </r>
    <r>
      <rPr>
        <sz val="9"/>
        <color theme="1"/>
        <rFont val="Calibri"/>
        <family val="2"/>
        <scheme val="minor"/>
      </rPr>
      <t xml:space="preserve">
Set up meeting with Kristi on aligning on next steps and status.</t>
    </r>
  </si>
  <si>
    <t>ETL Tool
11/6: No data retention. Source code will be saved
12/19: part of the decom will be done with the 4/1/27 date.  Jobs and workflow will need to be in place until state reporting is defined (could this be manual). Phase 1 with MF, Phase 2 jobs/workflows needed for reporting.
Include Actuarial</t>
  </si>
  <si>
    <t>B. Shif
F. Unger</t>
  </si>
  <si>
    <t>all, as long as HV transactions, it's needed…same as other</t>
  </si>
  <si>
    <t>Yes - Enterprise Contract</t>
  </si>
  <si>
    <t>Application is user interface and allows Underwriting rules team to enter rules for processing. Only available in DEV, Pre-Prod regions. IT takes rules from repo and builds Blaze adb file for system use. 5/19 Retain source code to access the rules</t>
  </si>
  <si>
    <t>5/12 need to archive u/w notes 
This application depends on various services/systems for displaying of data to the user.
Also, uses multiple other databases as source of data are listed below:
Conformed_Dimensions
Application_Log
IADB
Policyholder
Enterprise_Tables
Agency_Portal_Billing
U_517_Report
ISOMatrix
Renewal_Automation
External_Property_Data
Operational_Tables
APADB</t>
  </si>
  <si>
    <t>Need business decision as to when this application can be de-commed</t>
  </si>
  <si>
    <t>Underwriting Assessment Notes</t>
  </si>
  <si>
    <t>M.Kelly</t>
  </si>
  <si>
    <t>decom with clarify</t>
  </si>
  <si>
    <t>11/6: No data retention. Source code will be saved
webMethods is the backbone of Harleysville SOA- and EDA-enablement and provides support for HTTP/s, FTP/s and SMTP transport protocols, messaging, SOAP web service, synch/asynch, service orchestration, logging, standardized error handling, etc. The webMethods Integration Platform enables real-ime and batch service integration between Harleysville's core insurance applications on both the Windows and IBM mainframe environments. SOA application.</t>
  </si>
  <si>
    <t>Subba Suda, Mike Kelly</t>
  </si>
  <si>
    <t>The ESB middleware application used by all applications for web services calls</t>
  </si>
  <si>
    <t>Yes - IBM</t>
  </si>
  <si>
    <t>Portal for agents to view his book of business, begin new business transaction and launch into applicable policy systems, gather agency reports, etc.
6/16/22 Met with Lori Laird and ADS team, wanting dates of PL and CL policy retirements, wanting to kick off research of the application
03/31/25: concerns from Lindsey Moyer on the timing due to Claims impact. Colleen set up meeting on 4/2 to discuss.
04/02/25: targeted July of this year to turn off as part of a seperate project to turn off agent access due to non-renewal of a contract.  Talking to Lindsey Moyer. Could agent center be used to gather information? Need follow up with Frank K's area (Marano).   Loss/Run download and number of policies remaining; need to know that need claims. They will not be able to access driver loss data. I&amp;O: Jason Draper.  Removing access to Agent Portal.  Legacy Claims was overlooked. This is going to impact user experience and cause an increase with needed resources from Claims.
Set pre-meeting with Colleen, Terry, Tony Brnic, Mike Kelly, Angie Pike and Sharon Bealer for 4/3.   Larger meeting with ADS Frank K and Mark Marrano on 4/9.</t>
  </si>
  <si>
    <t xml:space="preserve">system stay online until last policy, retention defined by quote vs policy data. There is a quote DB that is populated from AQS. </t>
  </si>
  <si>
    <t xml:space="preserve">1. Shutdown for external users by August 2025 to avert PingOne.                                                                                     2. Meet w/ Business partners on 6/12/2024 to discuss downsize/de-comm of HV-Agent Portal
</t>
  </si>
  <si>
    <t>Yes - Hybrid (data Lakehouse + Gacier)</t>
  </si>
  <si>
    <t>packaged app which we now own.  Contracts exist for Infragistics</t>
  </si>
  <si>
    <t xml:space="preserve">1. Need business concessions to stop procesing prior term transactions and amendments.            2. Need policy archival in place
</t>
  </si>
  <si>
    <t>Policy and Claims Data</t>
  </si>
  <si>
    <t>11/6: No data retention. Source code will be saved
Source management product that we have licensed for AQS.
Need to save the source code.</t>
  </si>
  <si>
    <t>D. Schell
Dan Croll</t>
  </si>
  <si>
    <t>Yes - Opentext (Borland)</t>
  </si>
  <si>
    <t>Data stored by PM is non-PII information used to determine Company/Model/Scoring Information along with temporary numbers needed for calculations.  Data used by business for reporting
5/19 Includes info on HOW the rate was calculated, storing input and some output, but no calculations. Need to store the rules in the DB, not the input or output data</t>
  </si>
  <si>
    <t>Agency SQL database and services used throughout organization for agency validation.* This is incorrectly categorized as an application and is being retired *</t>
  </si>
  <si>
    <t>F. Unger</t>
  </si>
  <si>
    <t xml:space="preserve">Service used for agency validation - Agency Master from Mainframe is populated into SQL tables for HV-AIS - this is daily and over writes each day </t>
  </si>
  <si>
    <t>Main service component for the URE application to determine questions to ask and then save responses
Dependent on adding products.
12/19: this is highly integrated with other apps, need to weigh risk of trying to remove early due to integration.</t>
  </si>
  <si>
    <t>Ron Posatko, Dan Croll</t>
  </si>
  <si>
    <t>Not sure this is used by AQS</t>
  </si>
  <si>
    <t>1/20- Vendor accepted the non-renewal of the license. Their only stipulation is that everything has to be deleted within 30 days of the license expiration, which is the 19th. Everything is scheduled to get turned off for this on the 20th because the license expires. The license expires on the 19th, so nothing's gonna work anyway after that. So Frank  gonna stop, stop everything on the 20th.We met with the business users and they agreed to the manual process that has to take place. Frank did update the OCM piece in the plan guide and sent that out to them for approval.
For the plan guide approval, but regardless it gets.Frank went to Rachel Barone and we're waiting for the sign off. So this will probably be done prior to the 3/31 date.</t>
  </si>
  <si>
    <t>HV - Commercial Lines Legacy</t>
  </si>
  <si>
    <t>HV - AQS</t>
  </si>
  <si>
    <t>Angie Pike; Mikchael Martin</t>
  </si>
  <si>
    <t>The CoreLogic Interface converts address into geographic coordinates Latitude, Longitude  and also Spatial analytics  information like riskZone (fire,flood,earthquake..)and other information from spatial files
5/19 PL only, CL moved to GIS services, quarterly file based updates</t>
  </si>
  <si>
    <t>Yes - business owned (Zach Cozier contact for contract)</t>
  </si>
  <si>
    <t>SQL 2019</t>
  </si>
  <si>
    <t>Vlad Levin</t>
  </si>
  <si>
    <t>The Melissa Address Check Interface verifies and standardizes your Address data using the most current data from the U.S. Postal Service</t>
  </si>
  <si>
    <t>Dan Croll, Laurie Fernes</t>
  </si>
  <si>
    <t xml:space="preserve">3rd party software - ActivePDF, stay online until we can stop doing print from AQS. </t>
  </si>
  <si>
    <t>De-comm with HV-AQS if solution in place for policy re-prints</t>
  </si>
  <si>
    <t>No - we did not review</t>
  </si>
  <si>
    <t>Web application for updating workflow routing within Image Right for Commercial Lines
4/19/21 changed assignment from Colleen to Carolyn
12/19: could be done earlier than ImageRight.</t>
  </si>
  <si>
    <t xml:space="preserve">used to assign work, can delete after HV commercial lines workflow is no longer used
5/12 flow in imageright that sends to correct u/w
</t>
  </si>
  <si>
    <t>No - Imageright contract terminated</t>
  </si>
  <si>
    <t>most HV systems</t>
  </si>
  <si>
    <t>May be the system of record for manual policies? The manual policy only exists as keyed into the Expiration system. Only archive manual policy - if system of record for manual policy</t>
  </si>
  <si>
    <t xml:space="preserve">HV-AQS Batch Print </t>
  </si>
  <si>
    <t>This is a custom .net application to package HV-AQS Policy Output utilizing Active PDF. This component provides the bar coding on documents for Finishing. It also generates a transactional cover letter per Billing Account,applies the NY ID Card PDF417 bar code and packages new business and renewal output with the Agency Bill Schedule</t>
  </si>
  <si>
    <t>Not HV BSA</t>
  </si>
  <si>
    <t>Joanne Nuzzi, Tony Brnic, Laurie Fernes</t>
  </si>
  <si>
    <t>Lin, Bo</t>
  </si>
  <si>
    <t xml:space="preserve">it is used to generate packaged Policy Output for HV-AQS.  HV-AQS BatchPrint creates and transfers zip files containing policy output to HV-Q Direct for print/finish/mail at Grove City.    Dependent on HV-ActivePDF, HV-Peer Sync, HV-Q Direct and HV-AQS. </t>
  </si>
  <si>
    <t xml:space="preserve">$7,800 labor </t>
  </si>
  <si>
    <t>The LocationAPI product provides Protection class code, Auto Territory code for PL LOB and for CL LOB it provides GLTerri, ISOProp, BCEGS and other Territory information</t>
  </si>
  <si>
    <t>5397 HV Duck Creek</t>
  </si>
  <si>
    <t xml:space="preserve">Quarterly product updates from Vendor, related to 5712, same updates </t>
  </si>
  <si>
    <t>3rd Party Vendor for on line payments -- an online payment system operated by BillMatrix Corporation that is designed to accept payments
4/19/21 Carolyn mentioned this was her app, it was previously marked retired. Moving back to Not Started, CArolyn confirmed it still running. Need a decom date
1/24/22 - Previously assessed and documentation is available in our folder structure. Leave until migrated off of legacy platforms. NW Life and IVR has connection. PL uses to take payments. Tony to check on PL. CC payment through 5478 Agent Portal - attach on master. Collen will update APRM</t>
  </si>
  <si>
    <t>2020 Review</t>
  </si>
  <si>
    <t xml:space="preserve">Per Carolyn this needs decommed, there is a proposal to stop using this and use NW preferred vendor, in process
8/31 Per Tony, this also used by HV life company. Connected into IVR also, not a small effort. </t>
  </si>
  <si>
    <r>
      <t xml:space="preserve">3rd Party Vendor for on line payments -- an online payment system operated by BillMatrix Corporation that is designed to accept payments
4/19/21 Carolyn mentioned this was her app, it was previously marked retired. Moving back to Not Started, CArolyn confirmed it still running. Need a decom date                                                                                               </t>
    </r>
    <r>
      <rPr>
        <b/>
        <sz val="9"/>
        <color theme="1"/>
        <rFont val="Calibri"/>
        <family val="2"/>
        <scheme val="minor"/>
      </rPr>
      <t xml:space="preserve">   I dont think this is retired.   </t>
    </r>
    <r>
      <rPr>
        <sz val="9"/>
        <color theme="1"/>
        <rFont val="Calibri"/>
        <family val="2"/>
        <scheme val="minor"/>
      </rPr>
      <t xml:space="preserve"> </t>
    </r>
  </si>
  <si>
    <t>I don't think this is retired?</t>
  </si>
  <si>
    <t>Application that generates Account Proposal for CL agents
4/19/21 Moved to Terry per Carolyn
12/11: Separate service on the document end could come down, remaining would be dependent on shutting down transactions for AQS.
12/19: this is highly integrated with other apps, need to weigh risk of trying to remove early due to integration.</t>
  </si>
  <si>
    <t>system online until finished with new business in AQS</t>
  </si>
  <si>
    <t xml:space="preserve">HV-AuditWin Plus </t>
  </si>
  <si>
    <t>Service, user inputs in this app then it uploads to HV-ACE</t>
  </si>
  <si>
    <t>3rd Party Vendor for collections agency -- With Access Collections, LLC you'll have the skill and expertise needed to collect your consumer debt, delivering improved cash flow and reduced days outstanding.
12/11/24: will need a manual process for this going forward.</t>
  </si>
  <si>
    <t xml:space="preserve">3rd Party Vendor for agent sweep screens - PNC/Wells Fargo Bank
12/11: project in flight to decom the feed and then a new one will be created. </t>
  </si>
  <si>
    <t xml:space="preserve">HV-AQS User SecurityLoad </t>
  </si>
  <si>
    <t>no</t>
  </si>
  <si>
    <t>remain for as long as AQS is running, used for access, role changes</t>
  </si>
  <si>
    <t>De-comm with HV-AQS</t>
  </si>
  <si>
    <t xml:space="preserve">HV-AQS - Doc Utility </t>
  </si>
  <si>
    <t>Doc Utility is used by AQS Configuration Analysts and Developers for adding and updating document data.
12/19: need follow up with Dan Croll if this is an early decom. This could cause manual reporting.  Need to weigh this in also. Need to determine level of confidence of not being needed anymore --No longer needing regulatory changes.</t>
  </si>
  <si>
    <t>Part of the AQS app and data, treat same as AQS, no data to archive</t>
  </si>
  <si>
    <t>COI form generater stores data that is inpur for the form completion and generates the PDF, which is then moved to imageright</t>
  </si>
  <si>
    <t>De-comm with HV-Service Center or at the discretion of the business</t>
  </si>
  <si>
    <t>Patel, Minal C &lt;mpatel@nationwide.com&gt;; Davis, Terri L &lt;tdavis@nationwide.com&gt;</t>
  </si>
  <si>
    <t>Terri Davis</t>
  </si>
  <si>
    <t>Application used by underwriters to get the Matrix Grade; also used by Product staff to update information for use in Underwriting decisions via an admin page.
1/11/22 Per Marcy F  The HGM application is currently still in use, but even once the application retires (no details on timeline), I believe the database (ISOMatrixHGM) will live on.
The HUG application is no longer being used (replaced with HGM), but the database (ISOMatrix) is still linked to several legacy applications. I believe the data from ISOMatrix was already copied to ISOMatrixHGM, so once the work is done to disconnect the apps from ISOMatrix and move the connections to ISOMatrixHGM, the ISOMatrix database will no longer be needed.
We will be picking the analysis back up to confirm the work that needs to be done, as it relates to the ISOMatrix database. It is my understanding that the HUG application codebase is somehow intermixed with HGM, so the code cannot be removed. However, it is no longer referenced in GitHub, Jenkins or UCD, so we can probably retire in SNOW.</t>
  </si>
  <si>
    <t xml:space="preserve">Information is taken from a spreadsheet and then put into the app. Follow up with Jess, can the spreadsheet be used for the historical record, used regularly by processing. </t>
  </si>
  <si>
    <t>De-comm at the discretion of the business or with HV-AQS</t>
  </si>
  <si>
    <t>Jessica Went</t>
  </si>
  <si>
    <t>CL Insured Account name search tool used by processing groups for a lookup of account and billing account # info. A Link to Image Right is included</t>
  </si>
  <si>
    <t>De-comm at the discretion of the business or with HV-Agent Portal</t>
  </si>
  <si>
    <t xml:space="preserve">Trina Deihl, Nick Ginther
Brenda Crossin
Specialist, Statistical </t>
  </si>
  <si>
    <t>This application depends on HV-UW Assignment and 5720-HV-ImageRight-IRWebServices for data. Pulls the data from the assignmet and puts the data on the form, then processing completes and put in imageright, only generates the word doc</t>
  </si>
  <si>
    <t>De-comm with HV-AQS and/or HV-agent portal</t>
  </si>
  <si>
    <t>Brenda Crossin</t>
  </si>
  <si>
    <t>HV-PowerShell-Build-Deployment-Scripts</t>
  </si>
  <si>
    <t>D. Schell</t>
  </si>
  <si>
    <t>contains the scripts to deploy code</t>
  </si>
  <si>
    <t>win2019</t>
  </si>
  <si>
    <t>This service is used by many of the systems as integration point for data, main with IADB and Quote databases.Though this service doesn't have any direct database it uses other critical database systems for data updates.</t>
  </si>
  <si>
    <t>Cannot de-comm until HV-UWWB Underwriter WorkBench is no longer used and AQS is ready for de-comm</t>
  </si>
  <si>
    <t xml:space="preserve">
MVR DOC</t>
  </si>
  <si>
    <t>Joanne Nuzzi
Boris Shif</t>
  </si>
  <si>
    <t>records stored in imageright</t>
  </si>
  <si>
    <t>De-comm at the discretion of the business</t>
  </si>
  <si>
    <t>Yes - Business</t>
  </si>
  <si>
    <t xml:space="preserve">
</t>
  </si>
  <si>
    <t>Joanne Nuzzi, Mike Kelly</t>
  </si>
  <si>
    <t>web serivce for property and building data, used at NB and renewal, new locations, decom with AQS, data is stored in AQS with the policy</t>
  </si>
  <si>
    <t>Mike Kelly, Tony Brnic</t>
  </si>
  <si>
    <t>It uses other database Agency_Portal_Billing.</t>
  </si>
  <si>
    <t>De-comm with HV-Agent Portal</t>
  </si>
  <si>
    <t>Updates Stat_Feeds_AQS database. Accounting transactions that are passed down to the accounting and stat process. Done through ETL.</t>
  </si>
  <si>
    <t>Stat</t>
  </si>
  <si>
    <t>Proxix service, webMethods</t>
  </si>
  <si>
    <t>Needed until no policy on AQS, need to retain the stat DB as part of the mainframe files.</t>
  </si>
  <si>
    <t>HV-CLManuscripts CL Manuscripts (or CL Corporate Form) templates publish from CL Forms Sharepoint library to AgentPortal, UWWB, and AQS.Agent Portal –Supplemental applications and Questionaires, versions, and link to retrieve those forms once selected  
UWWB – Manuscript Templates – Forms/endorsements, versions, and a link to retrieve forms (same forms used for AQS)  
AQS – Manuscript endorsement titles and wording is used for AQS forms </t>
  </si>
  <si>
    <t>Joanne Nuzzi, Tony Brnic</t>
  </si>
  <si>
    <t>This application used to fetch the Manuscript documents stored in NAS share. Basically, Agent Portal and UWWB applications uses these manuscript files which are shown as links within the application and when user clicks on the link the document is downloaded to users local machine. There should be groups which would have access to the NAS share for the users to have permission to download the document. AQS also use these documents when they review policy documents section. They would see these as ‘Manuscript Exclusion’.</t>
  </si>
  <si>
    <t>De-comm w/ HV-AQS and/or HV-Agent Portal</t>
  </si>
  <si>
    <t xml:space="preserve">All policy and quote data in BA, this is a supporting app with rates. Would need to archive in scenarios we needed to see and determine rate steps, which would be difficult to do without a policy system. Archive rate steps and archive code that was used for the rate step? (Terry to follow up with Mike Hansen if this comment is correct)
12/18: Will not be making changes anymore.  Question around the archive, can we get rid of items that determine rate. Need to follow up on what if anything needs to be captured as part of the rates.  Needs a follow up discussion with Terry, Bill M and whoever Terry wants to add. 
12/19: per Bill...Commercial Auto (9999) - I didn't think this was related to Commercial Rate Step Maintenance (2887).  Not sure if we can find the meeting transcript, but thought Tim was able to pull an explanation from his memory maybe a month or two ago in one of these meetings.  Could this be Commercial Auto information going back before the current PCIO mainframe app was rewritten in the late 1990's?
All policy and quote data in BA, this is a supporting app with rates. Would need to archive in scenarios we needed to see and determine rate steps, which would be difficult to do without a policy system. Archive rate steps and archive code that was used for the rate step  
Is this related to CAS - Commercial Auto System? Possibly.
There is some items left for this. This needs analysis. </t>
  </si>
  <si>
    <t xml:space="preserve">Archive </t>
  </si>
  <si>
    <t>10 Years</t>
  </si>
  <si>
    <t>All policy and quote data in BA, this is a supporting app with rates. Would need to archive in scenarios we needed to see and determine rate steps, which would be difficult to do without a policy system. Archive rate steps and archive code that was used for the rate step</t>
  </si>
  <si>
    <t>DB2, VSAM, COBOL</t>
  </si>
  <si>
    <t>Prasad</t>
  </si>
  <si>
    <t>1/20-
Angie confirmed Retain data in current format unless business requires access.- We are going to Discard
Await formal approval from FARM leadership/legal before moving status to Green.-Already got it as per Angie
as per Angie-
We are on track for Q1 since we got approval to discard so.</t>
  </si>
  <si>
    <t>1/29: Awaiting archival approach documentation.
12/17: Mark is working on getting access.  He pulled together a word document on all the pieces and added to the folder.  Changed number from 9999 to 0000. Need a follow up on if we need to archive then the question is how we would archive; follow up with Scott.
12/10: Mark Van Wyk to get access to db tables, shut off screen test and look for more documentation on Calfarm.
11/20: Scott feedback
•The Calfarm policies are CL and would fall under the CL retention policies, generally indefinite. 
•If we are not able to interpret the data, then it is of no value and no need to incur costs to retain it
•To delete, I think we need the agreement of legal, retention, and business that this can and should be deleted. 
11/13: app has policies back to the 1990's, looking to see if there is the ability to decom. CalFarm is more than just Farm policies.
Need to determine if this can be inquired into for retrieving data?
03/05/25: needs data archival approach identiified.
04/02/25: all remaining updates on status can be found on the Planner board. LInk is in the 2nd to last column in this spreadsheet.
7/16/25: do we need to keep it or not.  Old CalFarm company acquired. Old history would be in this files. See email from 1/28/25 
9/15/2025 - Looking to get more info about hwat was migrated.  There is vey little for existing documentation.</t>
  </si>
  <si>
    <t>Ronda Giedd</t>
  </si>
  <si>
    <t>Lindsey Moyer, Chris Clawson</t>
  </si>
  <si>
    <t>There were screens available for inquiry after the policies were converted from PMS/PMS2 to the Allied commercial systems. The conversion data is still in the AGISDB2 DB2 tables (CV2T0101_CONV_MAST THRU CV2T0121_P_COINS); since this was over 20 years ago, we do not believe the online transaction or vsam files are in use anymore. Any remaining pieces were just a shell for inquiry of policies prior to conversion.</t>
  </si>
  <si>
    <t>App Id</t>
  </si>
  <si>
    <t>Decom Target Complete</t>
  </si>
  <si>
    <t>Data Owner (System)</t>
  </si>
  <si>
    <t>Access - API/Service</t>
  </si>
  <si>
    <t>Application Suite Dependency</t>
  </si>
  <si>
    <t>Legacy Suite</t>
  </si>
  <si>
    <t>SA/PCIO, TADA jobs, DR jobs, UWSW0082 - Rerate running every week.</t>
  </si>
  <si>
    <t>CIQ Agent Center</t>
  </si>
  <si>
    <t>12/31/25</t>
  </si>
  <si>
    <t>Commercial Internet Quoting(CIQ) is the agent facing commercial quoting web site. Supported LOBs are PAK, BOP, BA, Property, GL, WC and farm. CIQ is the data gathering function and makes use of mainframe rating engines for developing premium. Other components of CIQ are proposal, App and submit for issue. CL Processing Center Users and Underwriters receive CIQ New Business into E-File.</t>
  </si>
  <si>
    <t>Distributed (web app)</t>
  </si>
  <si>
    <t>Microfilm Indexing</t>
  </si>
  <si>
    <t>Maintains location of stored Micro Filmed policies</t>
  </si>
  <si>
    <t>Other</t>
  </si>
  <si>
    <t>Farm Bureau</t>
  </si>
  <si>
    <t>Maintains Farm Bureau application information and sends it to Farm Bureaus, keeps membership information from Farm Bureaus for the purpose of giving discounted rates to members.</t>
  </si>
  <si>
    <t>HV-Bank Reconciliation</t>
  </si>
  <si>
    <t>Application that matches and compares figures from accounting records against those presented on bank statements</t>
  </si>
  <si>
    <t>5302-HV-Online Draft</t>
  </si>
  <si>
    <t>HV-Checkwriter</t>
  </si>
  <si>
    <t>Application used to create and log check printing information for claims, direct bill refund, and direct bill commission statement checks</t>
  </si>
  <si>
    <t>Nationwide GL, HV Claims</t>
  </si>
  <si>
    <t>HV-Documerge</t>
  </si>
  <si>
    <t>Oracle document generation product that supports legacy output from mainframe</t>
  </si>
  <si>
    <t>AQS, Billing, Claims, NF(Life), Finance, PL Legacy</t>
  </si>
  <si>
    <t>Imageright, AQS, DCT, Billing, Claims, NF(Life), Finance, PL Legacy</t>
  </si>
  <si>
    <t>HV Mainframe</t>
  </si>
  <si>
    <t>HV-FRS</t>
  </si>
  <si>
    <t>Application that handles policy by policy facultative reinsurance</t>
  </si>
  <si>
    <t>HV-Legacy Claims</t>
  </si>
  <si>
    <t>Harleysville Claims System that supports the entry of claims from all lines of business for Harleysville policies.</t>
  </si>
  <si>
    <t>52970HV-Legacy Claims</t>
  </si>
  <si>
    <t>HV-AQS, HV-Duck Creek, HV-PL legacy</t>
  </si>
  <si>
    <t>HV-Online Draft</t>
  </si>
  <si>
    <t>Application which keeps track of the status of checks (issued, cashed, stop pays, etc)</t>
  </si>
  <si>
    <t>HV- Claims, HV- Checkwriter</t>
  </si>
  <si>
    <t>Acct/Stat edit and HUB Monthly premiums and losses ISO and CAR reporting Data Calls Tax TACT</t>
  </si>
  <si>
    <t>5303-HV Stat</t>
  </si>
  <si>
    <t>HV- AQS, HV-Duck Creek, HV- PL Legacy, HV-Stat Browser</t>
  </si>
  <si>
    <t>HV-TACSTAT/STAT</t>
  </si>
  <si>
    <t>Application that creates files for Actuarial that contain a subset of the data fully stored on the monthly premium and loss stat files</t>
  </si>
  <si>
    <t>HV-Stat, HV-Agency Systems</t>
  </si>
  <si>
    <t>HV-Claims Portal</t>
  </si>
  <si>
    <t>Web based portal to interface with the mainframe to report on claims, provide notifications, diary entries and a group of shortcuts for claims personnel.</t>
  </si>
  <si>
    <t>5395-HV-Claims Portal</t>
  </si>
  <si>
    <t>HV-ClLegacyService</t>
  </si>
  <si>
    <t>HV-Policy Browser</t>
  </si>
  <si>
    <t>Claims adjuster views into consolidated policy data for both commercial and personal lines</t>
  </si>
  <si>
    <t>HV-Policy ODS (Services and Database)</t>
  </si>
  <si>
    <t>HV-Claims</t>
  </si>
  <si>
    <t>HV-Policy ODS (Services ad DB)</t>
  </si>
  <si>
    <t>Set of web services for searching the Policy ODS and retrieving policy data in standard Acord format. Originally built for HV Guidewire project for coverage verification.</t>
  </si>
  <si>
    <t>HV AQS, HV PL Legacy, HV Duck Creek, HV Expiration</t>
  </si>
  <si>
    <t>HV-Claims, HV-ServiceCenter, HV Policy Browser</t>
  </si>
  <si>
    <t>HV-Underwriter Awareness Form</t>
  </si>
  <si>
    <t>Tool for claims to notify underwriters to review policies with large losses</t>
  </si>
  <si>
    <t>HV-Agency Download</t>
  </si>
  <si>
    <t>Nightly process that sends policy data (PL and CL) or Claims data to an agencies' management system. Monthly process that send direct bill commission statement data to an agencies' management system.</t>
  </si>
  <si>
    <t>HV - Legacy Claims</t>
  </si>
  <si>
    <t>.NET, SQL 2016</t>
  </si>
  <si>
    <t>HV-DocuMaker</t>
  </si>
  <si>
    <t>Document management system supporting output from Commercial and Personal lines (non-mainframe). It is used to create agency bill schedules, claims FNOL, audit mailers, and personal lines output (decs, forms, cancellations, ID cards, etc.).</t>
  </si>
  <si>
    <t>AQS, DCT, and Claims</t>
  </si>
  <si>
    <t>Distributed</t>
  </si>
  <si>
    <t>HV-Stat Browser</t>
  </si>
  <si>
    <t>View all premium accounting and stat and loss stat records. Also allows for manual entry of premium records. Additional phases include manual loss stat entry, error correction, and real time editing of entered and corrected records.</t>
  </si>
  <si>
    <t>HV-Cognos, HV-Underwriting Rules Engine (URE), SSRS Reports, HV-Core Integration Svcs, HV-Image Right, HVAIS</t>
  </si>
  <si>
    <t>HV-Duck Creek, HV-AQS, HVAgency Portal, HV-ImageRight</t>
  </si>
  <si>
    <t>HV-Agent Portal, HV-IADB, HVImageRight, HV-AIS, HV-U279, HVUnderwriting Rules Engine (URE), HV - Harleysville Underwriting Guide, Claims Service, SSRS Reports, Account Propsal Services, Policy Holder Reports DB, HV Duck Creek, HV AQS, HVMainframe CL, HV-WebMethods, HVMelissa, HV Informatica, HV Legacy Billing,</t>
  </si>
  <si>
    <t>AQS, DCT, Agent Portal.</t>
  </si>
  <si>
    <t>HV-IADB,</t>
  </si>
  <si>
    <t>HV-Question Answer Service, HV Bill Matrix, HV EFT Services, HV BL registration DB, HV ISOMatrixHGM DB, HV ASPSessionState DB, Account Register(Global IADB), Clear quote, Agent Center, Policy Center, Experian, Recaptcha</t>
  </si>
  <si>
    <t>HV- Service Center Workbench</t>
  </si>
  <si>
    <t>11/30/25</t>
  </si>
  <si>
    <t>Application used by internal users in the Customer service center as Servicing representatives on behalf of our agents.</t>
  </si>
  <si>
    <t>HV-Cognos and SSRS reports, HV-Core Integration Svcs, HV-Billing Svcs, PolicyODS service, Claims Service, getAgencyPerformanceInfo (ETL Service)</t>
  </si>
  <si>
    <t>HV-ISO Reporting</t>
  </si>
  <si>
    <t>Insurance Service Organizations</t>
  </si>
  <si>
    <t>MF VSAM, SFTP</t>
  </si>
  <si>
    <t>HV-Table Monitor</t>
  </si>
  <si>
    <t>Mainframe system which enables users to maintain master data such as comany code, company name, company address, state abbreviations, agencies and branches.</t>
  </si>
  <si>
    <t>6395-HV-Table Monitor</t>
  </si>
  <si>
    <t>All MF Apps</t>
  </si>
  <si>
    <t>HV-AQS HV-Duck Creek</t>
  </si>
  <si>
    <t>HV-Ivans</t>
  </si>
  <si>
    <t>Agents' mailboxes &amp; software tool used to build DL scripts</t>
  </si>
  <si>
    <t>HV-Agency Download HV-Billing</t>
  </si>
  <si>
    <t>HV-Direct Bill 5478 HV-Agent Portal</t>
  </si>
  <si>
    <t>HV- ACE \ - Premium Audit</t>
  </si>
  <si>
    <t>HV-STAT loss triangles</t>
  </si>
  <si>
    <t>Series of programs and calculations using webFocus and other tools to calculate IBNR and loss picks. IBNR, or incurred but not reported losses, are an estimate of the amount of an insurer's liability for claim-generating events that have taken place but have not yet been reported to the insurer or self-insurer.</t>
  </si>
  <si>
    <t>CICS, Cobol</t>
  </si>
  <si>
    <t>HV-Miscellaneous CICS Applications</t>
  </si>
  <si>
    <t>Various CICS Applications includingTable MonitorCommission ErrorsUnderwriter AssignmentPolicyholderPolicy Number AssignmentHLS/MFC/Penn Mutual ArchiveRMV SystemSMMI File Maintenance</t>
  </si>
  <si>
    <t>Various CICS Applications including: Table Monitor Underwriter Assignment Policyholder Policy Number Assignment HLS/MFC/Penn Mutual Archive SMMI File Maintenance. Operator Control System (OPID File) Also included are SHRD and SYSP ChangeMan members.</t>
  </si>
  <si>
    <t>CICS, COBOL, VSAM, DB2</t>
  </si>
  <si>
    <t>HV-WC Reporting</t>
  </si>
  <si>
    <t>Used for reporting WC commercial policy to NCCI and other rating bureaus twice per week.</t>
  </si>
  <si>
    <t>HV-AQS, Informatica, Prod Cycle, NonRenew web service</t>
  </si>
  <si>
    <t>HV-OpenText AFP Index-TiffConvertView</t>
  </si>
  <si>
    <t>Utility to View AFP files to configure indexing, create index file and convert afp files to tiff image for import into HV-ImageRight.</t>
  </si>
  <si>
    <t>Documerge, ImageRight</t>
  </si>
  <si>
    <t>win11</t>
  </si>
  <si>
    <t>HV-SQLSERVERSERVICES</t>
  </si>
  <si>
    <t>SSRS, SSIS, SSAS</t>
  </si>
  <si>
    <t>AQS, Informatica, Claims, Billing</t>
  </si>
  <si>
    <t>SQL2019, Win2019,</t>
  </si>
  <si>
    <t>7952</t>
  </si>
  <si>
    <t>HV-HIEDMS</t>
  </si>
  <si>
    <t>The go-between (entry &amp; exit points) component used by applications that want documaker to generate a document. Used by Agent Portal, UWWB, DCT and Upload</t>
  </si>
  <si>
    <t>Documaker</t>
  </si>
  <si>
    <t>8319</t>
  </si>
  <si>
    <t>CIS BATCH Apps</t>
  </si>
  <si>
    <t>9/30/25</t>
  </si>
  <si>
    <t>CIS Batch Apps (CA RCE, Farm Credit, and IRPM Worksheets)</t>
  </si>
  <si>
    <t>Category</t>
  </si>
  <si>
    <t>Current Status</t>
  </si>
  <si>
    <t>App type</t>
  </si>
  <si>
    <t>Age of application</t>
  </si>
  <si>
    <t>Scale</t>
  </si>
  <si>
    <t>Application life</t>
  </si>
  <si>
    <t>Application Being Decommissioned</t>
  </si>
  <si>
    <t>Active Users</t>
  </si>
  <si>
    <t>Level of Documentation</t>
  </si>
  <si>
    <t>Level of Knowledge</t>
  </si>
  <si>
    <t>FTEs Spent from SME's</t>
  </si>
  <si>
    <t>FTEs Spent from Contractor</t>
  </si>
  <si>
    <t>No of Servers</t>
  </si>
  <si>
    <t>Duration</t>
  </si>
  <si>
    <t>Data treatment options</t>
  </si>
  <si>
    <t>Data treatment</t>
  </si>
  <si>
    <t>Age</t>
  </si>
  <si>
    <t>Size</t>
  </si>
  <si>
    <t>Custom developed</t>
  </si>
  <si>
    <t>Run-Off Mode</t>
  </si>
  <si>
    <t>0 -5 years</t>
  </si>
  <si>
    <t>Drop Off Business Functionality</t>
  </si>
  <si>
    <t>No Documentation</t>
  </si>
  <si>
    <t>&lt; 5 SMEs</t>
  </si>
  <si>
    <t>&lt; 10 SMEs</t>
  </si>
  <si>
    <t>Custom Developed</t>
  </si>
  <si>
    <t>1-12 Months</t>
  </si>
  <si>
    <t>3rd party/COTs</t>
  </si>
  <si>
    <t>Inquiry Mode</t>
  </si>
  <si>
    <t>5 -10 years</t>
  </si>
  <si>
    <t>10 - 15 Users</t>
  </si>
  <si>
    <t>5 - 10 SMEs</t>
  </si>
  <si>
    <t>10 - 20 SMEs</t>
  </si>
  <si>
    <t>Acquired</t>
  </si>
  <si>
    <t>13-24 Months</t>
  </si>
  <si>
    <t>5 to 10 Years</t>
  </si>
  <si>
    <t>Not - in - Use</t>
  </si>
  <si>
    <t>Not Known</t>
  </si>
  <si>
    <t>10 - 15 years</t>
  </si>
  <si>
    <t>15 - 20 Users</t>
  </si>
  <si>
    <t>Has only business knowledge</t>
  </si>
  <si>
    <t>10 - 15 SMEs</t>
  </si>
  <si>
    <t>20 - 30 SMEs</t>
  </si>
  <si>
    <t>25-36 Months</t>
  </si>
  <si>
    <t>Retain</t>
  </si>
  <si>
    <t>Others</t>
  </si>
  <si>
    <t>Post Run off Mode</t>
  </si>
  <si>
    <t>15 - 20 years</t>
  </si>
  <si>
    <t>15 - 20 SMEs</t>
  </si>
  <si>
    <t>30 - 40 SMEs</t>
  </si>
  <si>
    <t>Not known</t>
  </si>
  <si>
    <t>37-60 Months</t>
  </si>
  <si>
    <t>Fortnightly</t>
  </si>
  <si>
    <t>&gt;20 years</t>
  </si>
  <si>
    <t>&gt; 18 Months</t>
  </si>
  <si>
    <t>&gt; 20 SMEs</t>
  </si>
  <si>
    <t>&gt; 40 SMEs</t>
  </si>
  <si>
    <t>&gt;4</t>
  </si>
  <si>
    <t>&gt; 60 Months</t>
  </si>
  <si>
    <t>Row Labels</t>
  </si>
  <si>
    <t>Count of Application Name</t>
  </si>
  <si>
    <t>In progress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</si>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</sst>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mm/dd/yy;@"/>
    <numFmt numFmtId="165" formatCode="&quot;$&quot;#,##0"/>
  </numFmts>
  <fonts count="62">
    <font>
      <sz val="11"/>
      <color theme="1"/>
      <name val="Calibri"/>
      <family val="2"/>
      <scheme val="minor"/>
    </font>
    <font>
      <sz val="11"/>
      <name val="Garamond"/>
      <family val="1"/>
    </font>
    <font>
      <sz val="10"/>
      <name val="Arial"/>
      <family val="2"/>
    </font>
    <font>
      <sz val="14"/>
      <color rgb="FFFF0000"/>
      <name val="Garamond"/>
      <family val="1"/>
    </font>
    <font>
      <sz val="14"/>
      <name val="Garamond"/>
      <family val="1"/>
    </font>
    <font>
      <sz val="11"/>
      <name val="Ubuntu"/>
      <family val="2"/>
    </font>
    <font>
      <b/>
      <sz val="26"/>
      <name val="Ubuntu"/>
      <family val="2"/>
    </font>
    <font>
      <sz val="14"/>
      <name val="Ubuntu"/>
      <family val="2"/>
    </font>
    <font>
      <b/>
      <sz val="10"/>
      <color theme="1"/>
      <name val="Ubuntu"/>
      <family val="2"/>
    </font>
    <font>
      <sz val="10"/>
      <name val="Ubuntu"/>
      <family val="2"/>
    </font>
    <font>
      <sz val="10"/>
      <color theme="1"/>
      <name val="Ubuntu"/>
      <family val="2"/>
    </font>
    <font>
      <b/>
      <sz val="10"/>
      <name val="Ubuntu"/>
      <family val="2"/>
    </font>
    <font>
      <b/>
      <sz val="10"/>
      <color theme="0"/>
      <name val="Ubuntu"/>
      <family val="2"/>
    </font>
    <font>
      <b/>
      <sz val="14"/>
      <name val="Ubuntu"/>
      <family val="2"/>
    </font>
    <font>
      <sz val="8"/>
      <name val="Calibri"/>
      <family val="2"/>
      <scheme val="minor"/>
    </font>
    <font>
      <b/>
      <sz val="22"/>
      <color theme="1"/>
      <name val="Calibri"/>
      <family val="2"/>
      <scheme val="minor"/>
    </font>
    <font>
      <b/>
      <sz val="10"/>
      <color rgb="FFFFC000"/>
      <name val="Ubuntu"/>
      <family val="2"/>
    </font>
    <font>
      <b/>
      <sz val="9"/>
      <color theme="1"/>
      <name val="Calibri"/>
      <family val="2"/>
      <scheme val="minor"/>
    </font>
    <font>
      <b/>
      <sz val="9"/>
      <color indexed="81"/>
      <name val="Tahoma"/>
      <family val="2"/>
    </font>
    <font>
      <sz val="9"/>
      <color indexed="81"/>
      <name val="Tahoma"/>
      <family val="2"/>
    </font>
    <font>
      <b/>
      <u/>
      <sz val="9"/>
      <color indexed="81"/>
      <name val="Tahoma"/>
      <family val="2"/>
    </font>
    <font>
      <b/>
      <sz val="9"/>
      <color theme="0"/>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9"/>
      <color rgb="FF000000"/>
      <name val="Calibri"/>
      <family val="2"/>
    </font>
    <font>
      <b/>
      <sz val="9"/>
      <color rgb="FF000000"/>
      <name val="Calibri"/>
      <family val="2"/>
    </font>
    <font>
      <b/>
      <sz val="9"/>
      <color rgb="FF000000"/>
      <name val="Calibri"/>
      <family val="2"/>
      <scheme val="minor"/>
    </font>
    <font>
      <sz val="9"/>
      <name val="Calibri"/>
      <family val="2"/>
      <scheme val="minor"/>
    </font>
    <font>
      <sz val="9"/>
      <color rgb="FF333333"/>
      <name val="Arial"/>
      <family val="2"/>
    </font>
    <font>
      <sz val="9"/>
      <color rgb="FFFF0000"/>
      <name val="Calibri"/>
      <family val="2"/>
      <scheme val="minor"/>
    </font>
    <font>
      <b/>
      <sz val="7"/>
      <color rgb="FF171717"/>
      <name val="Arial"/>
      <family val="2"/>
    </font>
    <font>
      <b/>
      <sz val="11"/>
      <name val="Calibri"/>
      <family val="2"/>
    </font>
    <font>
      <sz val="9"/>
      <color theme="1"/>
      <name val="Calibri"/>
      <family val="2"/>
    </font>
    <font>
      <b/>
      <sz val="10"/>
      <color rgb="FF000000"/>
      <name val="Ubuntu"/>
      <family val="2"/>
    </font>
    <font>
      <sz val="10"/>
      <color rgb="FF000000"/>
      <name val="Ubuntu"/>
      <family val="2"/>
    </font>
    <font>
      <sz val="9"/>
      <color rgb="FF000000"/>
      <name val="Calibri"/>
      <family val="2"/>
      <scheme val="minor"/>
    </font>
    <font>
      <sz val="11"/>
      <color rgb="FF242424"/>
      <name val="Aptos Narrow"/>
      <family val="2"/>
    </font>
    <font>
      <b/>
      <sz val="14"/>
      <name val="Garamond"/>
      <family val="1"/>
    </font>
    <font>
      <b/>
      <sz val="11"/>
      <color theme="1"/>
      <name val="Calibri"/>
      <family val="2"/>
      <scheme val="minor"/>
    </font>
    <font>
      <sz val="12"/>
      <color theme="1"/>
      <name val="Aptos"/>
      <family val="2"/>
    </font>
    <font>
      <sz val="10"/>
      <color theme="1"/>
      <name val="Arial"/>
      <family val="2"/>
    </font>
    <font>
      <sz val="10"/>
      <color rgb="FF000000"/>
      <name val="Arial"/>
      <family val="2"/>
    </font>
    <font>
      <sz val="10"/>
      <color rgb="FF000000"/>
      <name val="Times New Roman"/>
      <family val="1"/>
      <charset val="1"/>
    </font>
    <font>
      <sz val="9"/>
      <color rgb="FF000000"/>
      <name val="Times New Roman"/>
      <family val="1"/>
      <charset val="1"/>
    </font>
    <font>
      <sz val="10"/>
      <color rgb="FF000000"/>
      <name val="Times New Roman"/>
      <family val="1"/>
    </font>
    <font>
      <sz val="14"/>
      <color rgb="FF000000"/>
      <name val="Calibri"/>
      <family val="2"/>
    </font>
    <font>
      <sz val="14"/>
      <color rgb="FF242424"/>
      <name val="Consolas"/>
      <family val="3"/>
    </font>
    <font>
      <sz val="14"/>
      <color theme="1"/>
      <name val="Calibri"/>
      <family val="2"/>
      <scheme val="minor"/>
    </font>
    <font>
      <b/>
      <sz val="14"/>
      <color rgb="FFFFFFFF"/>
      <name val="Calibri"/>
      <family val="2"/>
    </font>
    <font>
      <b/>
      <sz val="14"/>
      <color rgb="FFFFFFFF"/>
      <name val="Aptos Narrow"/>
      <family val="2"/>
    </font>
    <font>
      <b/>
      <sz val="14"/>
      <color theme="0"/>
      <name val="Calibri"/>
      <family val="2"/>
      <scheme val="minor"/>
    </font>
    <font>
      <sz val="10"/>
      <color theme="1"/>
      <name val="Arial"/>
      <family val="2"/>
      <charset val="1"/>
    </font>
    <font>
      <sz val="11"/>
      <color theme="1"/>
      <name val="Calibri"/>
      <family val="2"/>
    </font>
    <font>
      <sz val="11"/>
      <color theme="1"/>
      <name val="Segoe UI"/>
      <family val="2"/>
    </font>
    <font>
      <b/>
      <sz val="11"/>
      <color rgb="FF242424"/>
      <name val="Aptos Narrow"/>
      <family val="2"/>
    </font>
    <font>
      <sz val="10"/>
      <color rgb="FFFF0000"/>
      <name val="Ubuntu"/>
      <family val="2"/>
    </font>
    <font>
      <sz val="11"/>
      <color rgb="FF000000"/>
      <name val="Calibri"/>
      <family val="2"/>
    </font>
    <font>
      <sz val="11"/>
      <color rgb="FF000000"/>
      <name val="Aptos Narrow"/>
      <family val="2"/>
    </font>
    <font>
      <sz val="11"/>
      <color rgb="FF000000"/>
      <name val="Aptos Narrow"/>
      <family val="2"/>
      <charset val="1"/>
    </font>
    <font>
      <sz val="10"/>
      <name val="Ubuntu"/>
    </font>
    <font>
      <sz val="11"/>
      <color rgb="FF92D050"/>
      <name val="Calibri"/>
    </font>
  </fonts>
  <fills count="2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6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8"/>
        <bgColor indexed="64"/>
      </patternFill>
    </fill>
    <fill>
      <patternFill patternType="solid">
        <fgColor rgb="FF00B050"/>
        <bgColor indexed="64"/>
      </patternFill>
    </fill>
    <fill>
      <patternFill patternType="solid">
        <fgColor rgb="FFFFFF00"/>
        <bgColor indexed="64"/>
      </patternFill>
    </fill>
    <fill>
      <patternFill patternType="solid">
        <fgColor theme="8" tint="-0.249977111117893"/>
        <bgColor indexed="64"/>
      </patternFill>
    </fill>
    <fill>
      <patternFill patternType="solid">
        <fgColor indexed="65"/>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249977111117893"/>
        <bgColor theme="1" tint="0.499984740745262"/>
      </patternFill>
    </fill>
    <fill>
      <patternFill patternType="solid">
        <fgColor theme="0" tint="-0.499984740745262"/>
        <bgColor theme="1" tint="0.499984740745262"/>
      </patternFill>
    </fill>
    <fill>
      <patternFill patternType="solid">
        <fgColor theme="1" tint="0.499984740745262"/>
        <bgColor indexed="64"/>
      </patternFill>
    </fill>
    <fill>
      <patternFill patternType="solid">
        <fgColor theme="0" tint="-0.499984740745262"/>
        <bgColor indexed="64"/>
      </patternFill>
    </fill>
    <fill>
      <patternFill patternType="solid">
        <fgColor rgb="FF4F81BD"/>
        <bgColor rgb="FF000000"/>
      </patternFill>
    </fill>
    <fill>
      <patternFill patternType="solid">
        <fgColor theme="4"/>
        <bgColor indexed="64"/>
      </patternFill>
    </fill>
    <fill>
      <patternFill patternType="solid">
        <fgColor rgb="FFFFFFFF"/>
        <bgColor rgb="FF000000"/>
      </patternFill>
    </fill>
    <fill>
      <patternFill patternType="solid">
        <fgColor rgb="FFFFFFFF"/>
        <bgColor indexed="64"/>
      </patternFill>
    </fill>
  </fills>
  <borders count="30">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theme="2" tint="-0.749992370372631"/>
      </left>
      <right style="medium">
        <color theme="2" tint="-0.749992370372631"/>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indexed="64"/>
      </right>
      <top style="thin">
        <color auto="1"/>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23" fillId="0" borderId="0" applyNumberFormat="0" applyFill="0" applyBorder="0" applyAlignment="0" applyProtection="0"/>
  </cellStyleXfs>
  <cellXfs count="377">
    <xf numFmtId="0" fontId="0" fillId="0" borderId="0" xfId="0"/>
    <xf numFmtId="0" fontId="1" fillId="0" borderId="0" xfId="1" applyFont="1"/>
    <xf numFmtId="0" fontId="1" fillId="0" borderId="0" xfId="1" applyFont="1" applyAlignment="1">
      <alignment wrapText="1"/>
    </xf>
    <xf numFmtId="0" fontId="3" fillId="2" borderId="0" xfId="1" applyFont="1" applyFill="1" applyAlignment="1">
      <alignment horizontal="left" vertical="center"/>
    </xf>
    <xf numFmtId="0" fontId="4" fillId="0" borderId="0" xfId="1" applyFont="1" applyAlignment="1">
      <alignment horizontal="left" vertical="center"/>
    </xf>
    <xf numFmtId="0" fontId="5" fillId="0" borderId="0" xfId="1" applyFont="1"/>
    <xf numFmtId="0" fontId="7" fillId="2" borderId="0" xfId="1" applyFont="1" applyFill="1" applyAlignment="1">
      <alignment horizontal="left" vertical="center"/>
    </xf>
    <xf numFmtId="0" fontId="7" fillId="0" borderId="0" xfId="1" applyFont="1" applyAlignment="1">
      <alignment horizontal="left" vertical="center"/>
    </xf>
    <xf numFmtId="0" fontId="10" fillId="2" borderId="0" xfId="0" applyFont="1" applyFill="1" applyAlignment="1">
      <alignment vertical="center"/>
    </xf>
    <xf numFmtId="0" fontId="8" fillId="3" borderId="1" xfId="0" applyFont="1" applyFill="1" applyBorder="1" applyAlignment="1">
      <alignment horizontal="center" vertical="center"/>
    </xf>
    <xf numFmtId="0" fontId="8" fillId="3" borderId="2" xfId="0" applyFont="1" applyFill="1" applyBorder="1" applyAlignment="1">
      <alignment vertical="center"/>
    </xf>
    <xf numFmtId="0" fontId="10" fillId="4" borderId="8" xfId="0" applyFont="1" applyFill="1" applyBorder="1" applyAlignment="1">
      <alignment vertical="center"/>
    </xf>
    <xf numFmtId="0" fontId="10" fillId="4" borderId="8" xfId="0" applyFont="1" applyFill="1" applyBorder="1" applyAlignment="1">
      <alignment vertical="center" wrapText="1"/>
    </xf>
    <xf numFmtId="0" fontId="10" fillId="2" borderId="9" xfId="0" applyFont="1" applyFill="1" applyBorder="1" applyAlignment="1">
      <alignment vertical="center"/>
    </xf>
    <xf numFmtId="0" fontId="10" fillId="2" borderId="3" xfId="0" applyFont="1" applyFill="1" applyBorder="1" applyAlignment="1">
      <alignment vertical="center"/>
    </xf>
    <xf numFmtId="0" fontId="9" fillId="0" borderId="8" xfId="0" applyFont="1" applyBorder="1" applyAlignment="1">
      <alignment vertical="center" wrapText="1"/>
    </xf>
    <xf numFmtId="0" fontId="9" fillId="0" borderId="8" xfId="0" applyFont="1" applyBorder="1" applyAlignment="1">
      <alignment horizontal="left" vertical="center" wrapText="1"/>
    </xf>
    <xf numFmtId="0" fontId="9" fillId="0" borderId="8" xfId="0" applyFont="1" applyBorder="1" applyAlignment="1">
      <alignment vertical="center"/>
    </xf>
    <xf numFmtId="0" fontId="10" fillId="2" borderId="5" xfId="0" applyFont="1" applyFill="1" applyBorder="1" applyAlignment="1">
      <alignment vertical="center"/>
    </xf>
    <xf numFmtId="0" fontId="10" fillId="0" borderId="8" xfId="0" applyFont="1" applyBorder="1" applyAlignment="1">
      <alignment vertical="center"/>
    </xf>
    <xf numFmtId="0" fontId="10" fillId="2" borderId="8" xfId="0" applyFont="1" applyFill="1" applyBorder="1" applyAlignment="1">
      <alignment vertical="center"/>
    </xf>
    <xf numFmtId="0" fontId="10" fillId="2" borderId="6" xfId="0" applyFont="1" applyFill="1" applyBorder="1" applyAlignment="1">
      <alignment vertical="center"/>
    </xf>
    <xf numFmtId="0" fontId="9" fillId="2" borderId="4" xfId="0" applyFont="1" applyFill="1" applyBorder="1" applyAlignment="1">
      <alignment horizontal="left" vertical="center" wrapText="1"/>
    </xf>
    <xf numFmtId="0" fontId="9" fillId="0" borderId="7" xfId="0" applyFont="1" applyBorder="1" applyAlignment="1" applyProtection="1">
      <alignment horizontal="left" vertical="center" wrapText="1"/>
      <protection locked="0"/>
    </xf>
    <xf numFmtId="0" fontId="9" fillId="2" borderId="0" xfId="0" applyFont="1" applyFill="1" applyAlignment="1" applyProtection="1">
      <alignment horizontal="left" vertical="center" wrapText="1"/>
      <protection locked="0"/>
    </xf>
    <xf numFmtId="0" fontId="10" fillId="2" borderId="0" xfId="0" applyFont="1" applyFill="1" applyAlignment="1">
      <alignment horizontal="left" vertical="center"/>
    </xf>
    <xf numFmtId="0" fontId="4" fillId="0" borderId="0" xfId="1" applyFont="1" applyAlignment="1">
      <alignment vertical="center"/>
    </xf>
    <xf numFmtId="0" fontId="8" fillId="0" borderId="8" xfId="0" applyFont="1" applyBorder="1" applyAlignment="1">
      <alignment horizontal="center" vertical="center" wrapText="1"/>
    </xf>
    <xf numFmtId="0" fontId="12" fillId="5" borderId="8" xfId="0" applyFont="1" applyFill="1" applyBorder="1" applyAlignment="1">
      <alignment vertical="center" wrapText="1"/>
    </xf>
    <xf numFmtId="0" fontId="12" fillId="5" borderId="8" xfId="1"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6" fillId="5" borderId="8" xfId="0" applyFont="1" applyFill="1" applyBorder="1" applyAlignment="1">
      <alignment vertical="center" wrapText="1"/>
    </xf>
    <xf numFmtId="0" fontId="0" fillId="0" borderId="0" xfId="0" applyAlignment="1">
      <alignment vertical="center" wrapText="1"/>
    </xf>
    <xf numFmtId="0" fontId="9" fillId="7" borderId="8" xfId="0" applyFont="1" applyFill="1" applyBorder="1" applyAlignment="1">
      <alignment horizontal="right" vertical="center" wrapText="1"/>
    </xf>
    <xf numFmtId="0" fontId="9" fillId="2" borderId="8" xfId="0" applyFont="1" applyFill="1" applyBorder="1" applyAlignment="1">
      <alignment horizontal="left" vertical="center" wrapText="1"/>
    </xf>
    <xf numFmtId="0" fontId="0" fillId="0" borderId="8" xfId="0" applyBorder="1" applyAlignment="1">
      <alignment vertical="center" wrapText="1"/>
    </xf>
    <xf numFmtId="0" fontId="9" fillId="3" borderId="8" xfId="0" applyFont="1" applyFill="1" applyBorder="1" applyAlignment="1">
      <alignment horizontal="right" vertical="center" wrapText="1"/>
    </xf>
    <xf numFmtId="0" fontId="9" fillId="10" borderId="8" xfId="0" applyFont="1" applyFill="1" applyBorder="1" applyAlignment="1">
      <alignment horizontal="left" vertical="top" wrapText="1"/>
    </xf>
    <xf numFmtId="0" fontId="9" fillId="10" borderId="8" xfId="0" applyFont="1" applyFill="1" applyBorder="1" applyAlignment="1">
      <alignment vertical="top" wrapText="1"/>
    </xf>
    <xf numFmtId="0" fontId="11" fillId="10" borderId="8" xfId="0" applyFont="1" applyFill="1" applyBorder="1" applyAlignment="1">
      <alignment vertical="top" wrapText="1"/>
    </xf>
    <xf numFmtId="0" fontId="12" fillId="12" borderId="8" xfId="1" applyFont="1" applyFill="1" applyBorder="1" applyAlignment="1">
      <alignment horizontal="left" vertical="center" wrapText="1"/>
    </xf>
    <xf numFmtId="0" fontId="12" fillId="12" borderId="8" xfId="0" applyFont="1" applyFill="1" applyBorder="1" applyAlignment="1">
      <alignment horizontal="left" vertical="center" wrapText="1"/>
    </xf>
    <xf numFmtId="0" fontId="12" fillId="12" borderId="8" xfId="0" applyFont="1" applyFill="1" applyBorder="1" applyAlignment="1">
      <alignment vertical="center" wrapText="1"/>
    </xf>
    <xf numFmtId="0" fontId="17" fillId="11" borderId="0" xfId="0" applyFont="1" applyFill="1" applyAlignment="1">
      <alignment horizontal="center" vertical="center" wrapText="1"/>
    </xf>
    <xf numFmtId="14" fontId="17" fillId="11" borderId="0" xfId="0" applyNumberFormat="1" applyFont="1" applyFill="1" applyAlignment="1">
      <alignment horizontal="center" vertical="center" wrapText="1"/>
    </xf>
    <xf numFmtId="0" fontId="17" fillId="13" borderId="0" xfId="0" applyFont="1" applyFill="1" applyAlignment="1">
      <alignment horizontal="center" vertical="center" wrapText="1"/>
    </xf>
    <xf numFmtId="0" fontId="17" fillId="14" borderId="0" xfId="0" applyFont="1" applyFill="1" applyAlignment="1">
      <alignment horizontal="center" vertical="center" wrapText="1"/>
    </xf>
    <xf numFmtId="0" fontId="17" fillId="11" borderId="0" xfId="0" applyFont="1" applyFill="1" applyAlignment="1">
      <alignment horizontal="center" vertical="top"/>
    </xf>
    <xf numFmtId="0" fontId="21" fillId="15" borderId="0" xfId="0" applyFont="1" applyFill="1" applyAlignment="1">
      <alignment horizontal="center" vertical="top" wrapText="1"/>
    </xf>
    <xf numFmtId="0" fontId="21" fillId="15" borderId="0" xfId="0" applyFont="1" applyFill="1" applyAlignment="1">
      <alignment horizontal="center" vertical="top"/>
    </xf>
    <xf numFmtId="0" fontId="22" fillId="0" borderId="17" xfId="0" applyFont="1" applyBorder="1" applyAlignment="1">
      <alignment vertical="top" wrapText="1"/>
    </xf>
    <xf numFmtId="0" fontId="22" fillId="0" borderId="17" xfId="0" applyFont="1" applyBorder="1" applyAlignment="1">
      <alignment horizontal="center" vertical="top" wrapText="1"/>
    </xf>
    <xf numFmtId="164" fontId="22" fillId="13" borderId="8" xfId="0" applyNumberFormat="1" applyFont="1" applyFill="1" applyBorder="1" applyAlignment="1">
      <alignment horizontal="center" vertical="top" wrapText="1"/>
    </xf>
    <xf numFmtId="0" fontId="22" fillId="13" borderId="17" xfId="0" applyFont="1" applyFill="1" applyBorder="1" applyAlignment="1">
      <alignment horizontal="center" vertical="top" wrapText="1"/>
    </xf>
    <xf numFmtId="0" fontId="22" fillId="0" borderId="17" xfId="0" applyFont="1" applyBorder="1" applyAlignment="1">
      <alignment horizontal="left" vertical="top" wrapText="1"/>
    </xf>
    <xf numFmtId="0" fontId="22" fillId="2" borderId="17" xfId="0" applyFont="1" applyFill="1" applyBorder="1" applyAlignment="1">
      <alignment horizontal="center" vertical="top" wrapText="1"/>
    </xf>
    <xf numFmtId="0" fontId="22" fillId="2" borderId="17" xfId="0" applyFont="1" applyFill="1" applyBorder="1" applyAlignment="1">
      <alignment vertical="top" wrapText="1"/>
    </xf>
    <xf numFmtId="0" fontId="22" fillId="0" borderId="17" xfId="0" applyFont="1" applyBorder="1" applyAlignment="1">
      <alignment horizontal="center" vertical="top"/>
    </xf>
    <xf numFmtId="0" fontId="22" fillId="0" borderId="17" xfId="0" applyFont="1" applyBorder="1" applyAlignment="1">
      <alignment vertical="top"/>
    </xf>
    <xf numFmtId="0" fontId="22" fillId="0" borderId="8" xfId="0" applyFont="1" applyBorder="1" applyAlignment="1">
      <alignment vertical="top" wrapText="1"/>
    </xf>
    <xf numFmtId="0" fontId="22" fillId="0" borderId="8" xfId="0" applyFont="1" applyBorder="1" applyAlignment="1">
      <alignment horizontal="center" vertical="top" wrapText="1"/>
    </xf>
    <xf numFmtId="0" fontId="22" fillId="0" borderId="8" xfId="0" applyFont="1" applyBorder="1" applyAlignment="1">
      <alignment horizontal="left" vertical="top" wrapText="1"/>
    </xf>
    <xf numFmtId="0" fontId="22" fillId="13" borderId="8" xfId="0" applyFont="1" applyFill="1" applyBorder="1" applyAlignment="1">
      <alignment horizontal="center" vertical="top" wrapText="1"/>
    </xf>
    <xf numFmtId="164" fontId="22" fillId="0" borderId="8" xfId="0" applyNumberFormat="1" applyFont="1" applyBorder="1" applyAlignment="1">
      <alignment horizontal="center" vertical="top" wrapText="1"/>
    </xf>
    <xf numFmtId="0" fontId="22" fillId="0" borderId="8" xfId="0" applyFont="1" applyBorder="1" applyAlignment="1">
      <alignment horizontal="center" vertical="top"/>
    </xf>
    <xf numFmtId="0" fontId="22" fillId="0" borderId="8" xfId="0" applyFont="1" applyBorder="1" applyAlignment="1">
      <alignment vertical="top"/>
    </xf>
    <xf numFmtId="0" fontId="22" fillId="2" borderId="8" xfId="0" applyFont="1" applyFill="1" applyBorder="1" applyAlignment="1">
      <alignment horizontal="center" vertical="top" wrapText="1"/>
    </xf>
    <xf numFmtId="164" fontId="17" fillId="0" borderId="8" xfId="0" applyNumberFormat="1" applyFont="1" applyBorder="1" applyAlignment="1">
      <alignment horizontal="center" vertical="top" wrapText="1"/>
    </xf>
    <xf numFmtId="0" fontId="24" fillId="0" borderId="8" xfId="2" applyFont="1" applyBorder="1" applyAlignment="1">
      <alignment horizontal="center" vertical="top" wrapText="1"/>
    </xf>
    <xf numFmtId="0" fontId="25" fillId="0" borderId="8" xfId="0" applyFont="1" applyBorder="1" applyAlignment="1">
      <alignment wrapText="1"/>
    </xf>
    <xf numFmtId="0" fontId="17" fillId="13" borderId="8" xfId="0" applyFont="1" applyFill="1" applyBorder="1" applyAlignment="1">
      <alignment horizontal="center" vertical="top" wrapText="1"/>
    </xf>
    <xf numFmtId="0" fontId="22" fillId="13" borderId="8" xfId="0" applyFont="1" applyFill="1" applyBorder="1" applyAlignment="1">
      <alignment vertical="top" wrapText="1"/>
    </xf>
    <xf numFmtId="0" fontId="22" fillId="2" borderId="8" xfId="0" applyFont="1" applyFill="1" applyBorder="1" applyAlignment="1">
      <alignment vertical="top" wrapText="1"/>
    </xf>
    <xf numFmtId="14" fontId="17" fillId="13" borderId="17" xfId="0" applyNumberFormat="1" applyFont="1" applyFill="1" applyBorder="1" applyAlignment="1">
      <alignment horizontal="center" vertical="top" wrapText="1"/>
    </xf>
    <xf numFmtId="0" fontId="22" fillId="13" borderId="8" xfId="0" applyFont="1" applyFill="1" applyBorder="1" applyAlignment="1">
      <alignment horizontal="left" vertical="top" wrapText="1"/>
    </xf>
    <xf numFmtId="0" fontId="17" fillId="0" borderId="8" xfId="0" applyFont="1" applyBorder="1" applyAlignment="1">
      <alignment horizontal="center" vertical="top" wrapText="1"/>
    </xf>
    <xf numFmtId="0" fontId="22" fillId="14" borderId="8" xfId="0" applyFont="1" applyFill="1" applyBorder="1" applyAlignment="1">
      <alignment horizontal="center" vertical="top" wrapText="1"/>
    </xf>
    <xf numFmtId="0" fontId="27" fillId="0" borderId="8" xfId="0" applyFont="1" applyBorder="1" applyAlignment="1">
      <alignment horizontal="center" vertical="top" wrapText="1"/>
    </xf>
    <xf numFmtId="0" fontId="22" fillId="16" borderId="18" xfId="0" applyFont="1" applyFill="1" applyBorder="1" applyAlignment="1">
      <alignment horizontal="center" vertical="top"/>
    </xf>
    <xf numFmtId="0" fontId="22" fillId="16" borderId="8" xfId="0" applyFont="1" applyFill="1" applyBorder="1" applyAlignment="1">
      <alignment horizontal="left" vertical="top"/>
    </xf>
    <xf numFmtId="164" fontId="22" fillId="13" borderId="8" xfId="0" applyNumberFormat="1" applyFont="1" applyFill="1" applyBorder="1" applyAlignment="1">
      <alignment horizontal="center" vertical="top"/>
    </xf>
    <xf numFmtId="164" fontId="22" fillId="0" borderId="8" xfId="0" applyNumberFormat="1" applyFont="1" applyBorder="1" applyAlignment="1">
      <alignment horizontal="center" vertical="top"/>
    </xf>
    <xf numFmtId="0" fontId="22" fillId="16" borderId="8" xfId="0" applyFont="1" applyFill="1" applyBorder="1" applyAlignment="1">
      <alignment vertical="top" wrapText="1"/>
    </xf>
    <xf numFmtId="164" fontId="22" fillId="0" borderId="8" xfId="0" applyNumberFormat="1" applyFont="1" applyBorder="1" applyAlignment="1">
      <alignment horizontal="left" vertical="top" wrapText="1"/>
    </xf>
    <xf numFmtId="0" fontId="22" fillId="16" borderId="8" xfId="0" applyFont="1" applyFill="1" applyBorder="1" applyAlignment="1">
      <alignment horizontal="center" vertical="top"/>
    </xf>
    <xf numFmtId="0" fontId="22" fillId="16" borderId="8" xfId="0" applyFont="1" applyFill="1" applyBorder="1" applyAlignment="1">
      <alignment horizontal="left" vertical="top" wrapText="1"/>
    </xf>
    <xf numFmtId="0" fontId="28" fillId="13" borderId="8" xfId="0" applyFont="1" applyFill="1" applyBorder="1" applyAlignment="1">
      <alignment horizontal="center" vertical="top" wrapText="1"/>
    </xf>
    <xf numFmtId="0" fontId="29" fillId="13" borderId="0" xfId="0" applyFont="1" applyFill="1" applyAlignment="1">
      <alignment vertical="top" wrapText="1"/>
    </xf>
    <xf numFmtId="0" fontId="28" fillId="14" borderId="8" xfId="0" applyFont="1" applyFill="1" applyBorder="1" applyAlignment="1">
      <alignment horizontal="center" vertical="top" wrapText="1"/>
    </xf>
    <xf numFmtId="0" fontId="22" fillId="16" borderId="8" xfId="0" applyFont="1" applyFill="1" applyBorder="1" applyAlignment="1">
      <alignment horizontal="center" vertical="top" wrapText="1"/>
    </xf>
    <xf numFmtId="0" fontId="22" fillId="13" borderId="8" xfId="0" applyFont="1" applyFill="1" applyBorder="1" applyAlignment="1">
      <alignment horizontal="center" vertical="top"/>
    </xf>
    <xf numFmtId="164" fontId="24" fillId="0" borderId="8" xfId="2" applyNumberFormat="1" applyFont="1" applyBorder="1" applyAlignment="1">
      <alignment horizontal="center" vertical="top" wrapText="1"/>
    </xf>
    <xf numFmtId="0" fontId="25" fillId="0" borderId="8" xfId="0" applyFont="1" applyBorder="1" applyAlignment="1">
      <alignment vertical="top" wrapText="1"/>
    </xf>
    <xf numFmtId="0" fontId="17" fillId="16" borderId="8" xfId="0" applyFont="1" applyFill="1" applyBorder="1" applyAlignment="1">
      <alignment horizontal="left" vertical="top" wrapText="1"/>
    </xf>
    <xf numFmtId="0" fontId="17" fillId="16" borderId="8" xfId="0" applyFont="1" applyFill="1" applyBorder="1" applyAlignment="1">
      <alignment horizontal="center" vertical="top" wrapText="1"/>
    </xf>
    <xf numFmtId="0" fontId="22" fillId="0" borderId="8" xfId="0" applyFont="1" applyBorder="1" applyAlignment="1">
      <alignment horizontal="left" vertical="top"/>
    </xf>
    <xf numFmtId="0" fontId="30" fillId="17" borderId="8" xfId="0" applyFont="1" applyFill="1" applyBorder="1" applyAlignment="1">
      <alignment horizontal="center" vertical="top"/>
    </xf>
    <xf numFmtId="0" fontId="23" fillId="0" borderId="0" xfId="2" applyBorder="1" applyAlignment="1">
      <alignment vertical="top" wrapText="1"/>
    </xf>
    <xf numFmtId="0" fontId="23" fillId="0" borderId="8" xfId="2" applyBorder="1" applyAlignment="1">
      <alignment vertical="top" wrapText="1"/>
    </xf>
    <xf numFmtId="14" fontId="22" fillId="0" borderId="8" xfId="0" applyNumberFormat="1" applyFont="1" applyBorder="1" applyAlignment="1">
      <alignment horizontal="center" vertical="top"/>
    </xf>
    <xf numFmtId="0" fontId="22" fillId="14" borderId="8" xfId="0" applyFont="1" applyFill="1" applyBorder="1" applyAlignment="1">
      <alignment horizontal="center" vertical="top"/>
    </xf>
    <xf numFmtId="164" fontId="17" fillId="0" borderId="8" xfId="0" applyNumberFormat="1" applyFont="1" applyBorder="1" applyAlignment="1">
      <alignment horizontal="center" vertical="top"/>
    </xf>
    <xf numFmtId="6" fontId="22" fillId="0" borderId="8" xfId="0" applyNumberFormat="1" applyFont="1" applyBorder="1" applyAlignment="1">
      <alignment horizontal="center" vertical="top"/>
    </xf>
    <xf numFmtId="0" fontId="17" fillId="16" borderId="8" xfId="0" applyFont="1" applyFill="1" applyBorder="1" applyAlignment="1">
      <alignment horizontal="center" vertical="top"/>
    </xf>
    <xf numFmtId="0" fontId="22" fillId="2" borderId="8" xfId="0" applyFont="1" applyFill="1" applyBorder="1" applyAlignment="1">
      <alignment horizontal="left" vertical="top"/>
    </xf>
    <xf numFmtId="164" fontId="22" fillId="14" borderId="8" xfId="0" applyNumberFormat="1" applyFont="1" applyFill="1" applyBorder="1" applyAlignment="1">
      <alignment horizontal="center" vertical="top" wrapText="1"/>
    </xf>
    <xf numFmtId="0" fontId="22" fillId="0" borderId="18" xfId="0" applyFont="1" applyBorder="1" applyAlignment="1">
      <alignment horizontal="center" vertical="top" wrapText="1"/>
    </xf>
    <xf numFmtId="0" fontId="0" fillId="0" borderId="0" xfId="0" applyAlignment="1">
      <alignment wrapText="1"/>
    </xf>
    <xf numFmtId="0" fontId="31" fillId="0" borderId="0" xfId="0" applyFont="1" applyAlignment="1">
      <alignment horizontal="left" vertical="center" wrapText="1"/>
    </xf>
    <xf numFmtId="49" fontId="22" fillId="0" borderId="8" xfId="0" applyNumberFormat="1" applyFont="1" applyBorder="1" applyAlignment="1">
      <alignment horizontal="right" vertical="top" wrapText="1"/>
    </xf>
    <xf numFmtId="164" fontId="22" fillId="0" borderId="17" xfId="0" applyNumberFormat="1" applyFont="1" applyBorder="1" applyAlignment="1">
      <alignment horizontal="center" vertical="top" wrapText="1"/>
    </xf>
    <xf numFmtId="0" fontId="15" fillId="0" borderId="8" xfId="0" applyFont="1" applyBorder="1" applyAlignment="1">
      <alignment horizontal="center" vertical="center" wrapText="1"/>
    </xf>
    <xf numFmtId="0" fontId="15" fillId="4"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0" borderId="8" xfId="0" applyFont="1" applyBorder="1" applyAlignment="1">
      <alignment horizontal="right" vertical="center" wrapText="1"/>
    </xf>
    <xf numFmtId="0" fontId="0" fillId="0" borderId="8" xfId="0" applyBorder="1" applyAlignment="1">
      <alignment horizontal="center" vertical="center" wrapText="1"/>
    </xf>
    <xf numFmtId="0" fontId="0" fillId="0" borderId="8" xfId="0" applyBorder="1" applyAlignment="1">
      <alignment horizontal="right" vertical="center" wrapText="1"/>
    </xf>
    <xf numFmtId="0" fontId="0" fillId="0" borderId="0" xfId="0" applyAlignment="1">
      <alignment horizontal="center" vertical="center" wrapText="1"/>
    </xf>
    <xf numFmtId="0" fontId="16" fillId="5"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32" fillId="0" borderId="17" xfId="0" applyFont="1" applyBorder="1" applyAlignment="1">
      <alignment horizontal="center" vertical="top"/>
    </xf>
    <xf numFmtId="14" fontId="32" fillId="0" borderId="17" xfId="0" applyNumberFormat="1" applyFont="1" applyBorder="1" applyAlignment="1">
      <alignment horizontal="center" vertical="top"/>
    </xf>
    <xf numFmtId="14" fontId="0" fillId="0" borderId="0" xfId="0" applyNumberFormat="1"/>
    <xf numFmtId="0" fontId="17" fillId="11" borderId="10" xfId="0" applyFont="1" applyFill="1" applyBorder="1" applyAlignment="1">
      <alignment horizontal="center" vertical="center" wrapText="1"/>
    </xf>
    <xf numFmtId="0" fontId="17" fillId="11" borderId="8" xfId="0" applyFont="1" applyFill="1" applyBorder="1" applyAlignment="1">
      <alignment horizontal="center" vertical="center" wrapText="1"/>
    </xf>
    <xf numFmtId="164" fontId="17" fillId="11" borderId="8" xfId="0" applyNumberFormat="1" applyFont="1" applyFill="1" applyBorder="1" applyAlignment="1">
      <alignment horizontal="center" vertical="center" wrapText="1"/>
    </xf>
    <xf numFmtId="0" fontId="17" fillId="18" borderId="8" xfId="0" applyFont="1" applyFill="1" applyBorder="1" applyAlignment="1">
      <alignment horizontal="center" vertical="center" wrapText="1"/>
    </xf>
    <xf numFmtId="0" fontId="17" fillId="18" borderId="10" xfId="0" applyFont="1" applyFill="1" applyBorder="1" applyAlignment="1">
      <alignment horizontal="center" vertical="center" wrapText="1"/>
    </xf>
    <xf numFmtId="6" fontId="17" fillId="18" borderId="8" xfId="0" applyNumberFormat="1" applyFont="1" applyFill="1" applyBorder="1" applyAlignment="1">
      <alignment horizontal="center" vertical="center" wrapText="1"/>
    </xf>
    <xf numFmtId="0" fontId="17" fillId="19" borderId="8" xfId="0" applyFont="1" applyFill="1" applyBorder="1" applyAlignment="1">
      <alignment horizontal="center" vertical="center" wrapText="1"/>
    </xf>
    <xf numFmtId="8" fontId="17" fillId="19" borderId="8" xfId="0" applyNumberFormat="1" applyFont="1" applyFill="1" applyBorder="1" applyAlignment="1">
      <alignment horizontal="center" vertical="center" wrapText="1"/>
    </xf>
    <xf numFmtId="0" fontId="17" fillId="18" borderId="13" xfId="0" applyFont="1" applyFill="1" applyBorder="1" applyAlignment="1">
      <alignment horizontal="center" vertical="center" wrapText="1"/>
    </xf>
    <xf numFmtId="0" fontId="17" fillId="11" borderId="14" xfId="0" applyFont="1" applyFill="1" applyBorder="1" applyAlignment="1">
      <alignment horizontal="center" vertical="center" wrapText="1"/>
    </xf>
    <xf numFmtId="0" fontId="17" fillId="11" borderId="13" xfId="0" applyFont="1" applyFill="1" applyBorder="1" applyAlignment="1">
      <alignment horizontal="center" vertical="center" wrapText="1"/>
    </xf>
    <xf numFmtId="0" fontId="17" fillId="18" borderId="10" xfId="0" applyFont="1" applyFill="1" applyBorder="1" applyAlignment="1">
      <alignment horizontal="left" vertical="center" wrapText="1"/>
    </xf>
    <xf numFmtId="0" fontId="17" fillId="18" borderId="14" xfId="0" applyFont="1" applyFill="1" applyBorder="1" applyAlignment="1">
      <alignment horizontal="center" vertical="center" wrapText="1"/>
    </xf>
    <xf numFmtId="0" fontId="22" fillId="0" borderId="0" xfId="0" applyFont="1" applyAlignment="1">
      <alignment horizontal="center" vertical="top" wrapText="1"/>
    </xf>
    <xf numFmtId="0" fontId="22" fillId="0" borderId="10" xfId="0" applyFont="1" applyBorder="1" applyAlignment="1">
      <alignment horizontal="center" vertical="top"/>
    </xf>
    <xf numFmtId="0" fontId="22" fillId="0" borderId="10" xfId="0" applyFont="1" applyBorder="1" applyAlignment="1">
      <alignment vertical="top" wrapText="1"/>
    </xf>
    <xf numFmtId="6" fontId="22" fillId="0" borderId="10" xfId="0" applyNumberFormat="1" applyFont="1" applyBorder="1" applyAlignment="1">
      <alignment horizontal="center" vertical="top"/>
    </xf>
    <xf numFmtId="0" fontId="22" fillId="0" borderId="10" xfId="0" applyFont="1" applyBorder="1" applyAlignment="1">
      <alignment horizontal="center" vertical="top" wrapText="1"/>
    </xf>
    <xf numFmtId="0" fontId="22" fillId="0" borderId="10" xfId="0" applyFont="1" applyBorder="1" applyAlignment="1">
      <alignment horizontal="left" vertical="top" wrapText="1"/>
    </xf>
    <xf numFmtId="164" fontId="22" fillId="2" borderId="8" xfId="0" applyNumberFormat="1" applyFont="1" applyFill="1" applyBorder="1" applyAlignment="1">
      <alignment horizontal="center" vertical="top" wrapText="1"/>
    </xf>
    <xf numFmtId="0" fontId="22" fillId="2" borderId="8" xfId="0" applyFont="1" applyFill="1" applyBorder="1" applyAlignment="1">
      <alignment horizontal="center" vertical="top"/>
    </xf>
    <xf numFmtId="0" fontId="22" fillId="20" borderId="8" xfId="0" applyFont="1" applyFill="1" applyBorder="1" applyAlignment="1">
      <alignment horizontal="center" vertical="top"/>
    </xf>
    <xf numFmtId="0" fontId="22" fillId="2" borderId="18" xfId="0" applyFont="1" applyFill="1" applyBorder="1" applyAlignment="1">
      <alignment horizontal="center" vertical="top" wrapText="1"/>
    </xf>
    <xf numFmtId="8" fontId="22" fillId="0" borderId="10" xfId="0" applyNumberFormat="1" applyFont="1" applyBorder="1" applyAlignment="1">
      <alignment horizontal="center" vertical="top" wrapText="1"/>
    </xf>
    <xf numFmtId="0" fontId="22" fillId="16" borderId="10" xfId="0" applyFont="1" applyFill="1" applyBorder="1" applyAlignment="1">
      <alignment vertical="top" wrapText="1"/>
    </xf>
    <xf numFmtId="0" fontId="22" fillId="21" borderId="8" xfId="0" applyFont="1" applyFill="1" applyBorder="1" applyAlignment="1">
      <alignment horizontal="center" vertical="top"/>
    </xf>
    <xf numFmtId="6" fontId="22" fillId="21" borderId="8" xfId="0" applyNumberFormat="1" applyFont="1" applyFill="1" applyBorder="1" applyAlignment="1">
      <alignment horizontal="center" vertical="top"/>
    </xf>
    <xf numFmtId="165" fontId="22" fillId="22" borderId="8" xfId="0" applyNumberFormat="1" applyFont="1" applyFill="1" applyBorder="1" applyAlignment="1">
      <alignment horizontal="center" vertical="top"/>
    </xf>
    <xf numFmtId="0" fontId="22" fillId="22" borderId="8" xfId="0" applyFont="1" applyFill="1" applyBorder="1" applyAlignment="1">
      <alignment horizontal="center" vertical="top"/>
    </xf>
    <xf numFmtId="0" fontId="22" fillId="20" borderId="8" xfId="0" applyFont="1" applyFill="1" applyBorder="1" applyAlignment="1">
      <alignment horizontal="center" vertical="top" wrapText="1"/>
    </xf>
    <xf numFmtId="8" fontId="22" fillId="20" borderId="8" xfId="0" applyNumberFormat="1" applyFont="1" applyFill="1" applyBorder="1" applyAlignment="1">
      <alignment horizontal="center" vertical="top" wrapText="1"/>
    </xf>
    <xf numFmtId="0" fontId="22" fillId="21" borderId="10" xfId="0" applyFont="1" applyFill="1" applyBorder="1" applyAlignment="1">
      <alignment horizontal="center" vertical="top"/>
    </xf>
    <xf numFmtId="0" fontId="22" fillId="22" borderId="8" xfId="0" applyFont="1" applyFill="1" applyBorder="1" applyAlignment="1">
      <alignment horizontal="center" vertical="top" wrapText="1"/>
    </xf>
    <xf numFmtId="49" fontId="22" fillId="0" borderId="8" xfId="0" applyNumberFormat="1" applyFont="1" applyBorder="1" applyAlignment="1">
      <alignment horizontal="center" vertical="top" wrapText="1"/>
    </xf>
    <xf numFmtId="0" fontId="22" fillId="16" borderId="10" xfId="0" applyFont="1" applyFill="1" applyBorder="1" applyAlignment="1">
      <alignment horizontal="center" vertical="top" wrapText="1"/>
    </xf>
    <xf numFmtId="0" fontId="22" fillId="16" borderId="10" xfId="0" applyFont="1" applyFill="1" applyBorder="1" applyAlignment="1">
      <alignment horizontal="left" vertical="top" wrapText="1"/>
    </xf>
    <xf numFmtId="0" fontId="22" fillId="16" borderId="10" xfId="0" applyFont="1" applyFill="1" applyBorder="1" applyAlignment="1">
      <alignment horizontal="center" vertical="top"/>
    </xf>
    <xf numFmtId="0" fontId="22" fillId="16" borderId="10" xfId="0" applyFont="1" applyFill="1" applyBorder="1" applyAlignment="1">
      <alignment horizontal="left" vertical="top"/>
    </xf>
    <xf numFmtId="0" fontId="33" fillId="0" borderId="0" xfId="0" applyFont="1" applyAlignment="1">
      <alignment horizontal="center" vertical="top" wrapText="1"/>
    </xf>
    <xf numFmtId="0" fontId="22" fillId="0" borderId="10" xfId="0" applyFont="1" applyBorder="1" applyAlignment="1">
      <alignment horizontal="left" vertical="top"/>
    </xf>
    <xf numFmtId="0" fontId="33" fillId="0" borderId="10" xfId="0" applyFont="1" applyBorder="1" applyAlignment="1">
      <alignment horizontal="left" vertical="top" wrapText="1"/>
    </xf>
    <xf numFmtId="6" fontId="22" fillId="0" borderId="10" xfId="0" applyNumberFormat="1" applyFont="1" applyBorder="1" applyAlignment="1">
      <alignment horizontal="left" vertical="top"/>
    </xf>
    <xf numFmtId="0" fontId="33" fillId="0" borderId="8" xfId="0" applyFont="1" applyBorder="1" applyAlignment="1">
      <alignment horizontal="center" vertical="top" wrapText="1"/>
    </xf>
    <xf numFmtId="164" fontId="22" fillId="2" borderId="0" xfId="0" applyNumberFormat="1" applyFont="1" applyFill="1" applyAlignment="1">
      <alignment horizontal="center" vertical="top" wrapText="1"/>
    </xf>
    <xf numFmtId="0" fontId="27" fillId="11" borderId="8"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4" fillId="0" borderId="0" xfId="1" applyFont="1" applyAlignment="1">
      <alignment horizontal="left" vertical="center" wrapText="1"/>
    </xf>
    <xf numFmtId="0" fontId="16" fillId="12" borderId="23" xfId="0" applyFont="1" applyFill="1" applyBorder="1" applyAlignment="1">
      <alignment vertical="top" wrapText="1"/>
    </xf>
    <xf numFmtId="0" fontId="0" fillId="0" borderId="0" xfId="0" applyAlignment="1">
      <alignment vertical="center"/>
    </xf>
    <xf numFmtId="0" fontId="48" fillId="0" borderId="0" xfId="0" applyFont="1" applyAlignment="1">
      <alignment vertical="center"/>
    </xf>
    <xf numFmtId="0" fontId="0" fillId="0" borderId="24" xfId="0" applyBorder="1" applyAlignment="1">
      <alignment vertical="center"/>
    </xf>
    <xf numFmtId="0" fontId="8" fillId="3" borderId="18" xfId="0" applyFont="1" applyFill="1" applyBorder="1" applyAlignment="1">
      <alignment horizontal="center" vertical="center"/>
    </xf>
    <xf numFmtId="0" fontId="9" fillId="3" borderId="18" xfId="0" applyFont="1" applyFill="1" applyBorder="1" applyAlignment="1">
      <alignment horizontal="right" vertical="center"/>
    </xf>
    <xf numFmtId="0" fontId="11" fillId="3" borderId="18" xfId="0" applyFont="1" applyFill="1" applyBorder="1" applyAlignment="1">
      <alignment horizontal="right" vertical="center"/>
    </xf>
    <xf numFmtId="0" fontId="8" fillId="3" borderId="23" xfId="0" applyFont="1" applyFill="1" applyBorder="1" applyAlignment="1">
      <alignment horizontal="center" vertical="center"/>
    </xf>
    <xf numFmtId="0" fontId="9" fillId="3" borderId="23" xfId="0" applyFont="1" applyFill="1" applyBorder="1" applyAlignment="1">
      <alignment horizontal="right" vertical="center"/>
    </xf>
    <xf numFmtId="0" fontId="48" fillId="0" borderId="24" xfId="0" applyFont="1" applyBorder="1" applyAlignment="1">
      <alignment vertical="center"/>
    </xf>
    <xf numFmtId="0" fontId="8" fillId="0" borderId="17" xfId="0" applyFont="1" applyBorder="1" applyAlignment="1">
      <alignment horizontal="center" vertical="center"/>
    </xf>
    <xf numFmtId="0" fontId="9" fillId="2" borderId="17" xfId="0" applyFont="1" applyFill="1" applyBorder="1" applyAlignment="1">
      <alignment horizontal="center" vertical="center"/>
    </xf>
    <xf numFmtId="0" fontId="9" fillId="2" borderId="17" xfId="0" applyFont="1" applyFill="1" applyBorder="1" applyAlignment="1">
      <alignment horizontal="left" vertical="center"/>
    </xf>
    <xf numFmtId="0" fontId="0" fillId="0" borderId="17" xfId="0" applyBorder="1" applyAlignment="1">
      <alignment horizontal="center" vertical="top"/>
    </xf>
    <xf numFmtId="0" fontId="0" fillId="0" borderId="17" xfId="0" applyBorder="1" applyAlignment="1">
      <alignment vertical="center"/>
    </xf>
    <xf numFmtId="0" fontId="9" fillId="0" borderId="17" xfId="0" applyFont="1" applyBorder="1" applyAlignment="1">
      <alignment vertical="center"/>
    </xf>
    <xf numFmtId="0" fontId="9" fillId="0" borderId="17" xfId="0" applyFont="1" applyBorder="1" applyAlignment="1">
      <alignment horizontal="left" vertical="center"/>
    </xf>
    <xf numFmtId="0" fontId="0" fillId="0" borderId="8"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top"/>
    </xf>
    <xf numFmtId="0" fontId="9" fillId="2" borderId="8" xfId="0" applyFont="1" applyFill="1" applyBorder="1" applyAlignment="1">
      <alignment horizontal="left" vertical="center"/>
    </xf>
    <xf numFmtId="17" fontId="0" fillId="0" borderId="8" xfId="0" applyNumberFormat="1" applyBorder="1" applyAlignment="1">
      <alignment vertical="center"/>
    </xf>
    <xf numFmtId="0" fontId="39" fillId="0" borderId="8" xfId="0" applyFont="1" applyBorder="1" applyAlignment="1">
      <alignment vertical="center"/>
    </xf>
    <xf numFmtId="0" fontId="11" fillId="0" borderId="8" xfId="0" applyFont="1" applyBorder="1" applyAlignment="1">
      <alignment vertical="center"/>
    </xf>
    <xf numFmtId="0" fontId="11" fillId="2" borderId="8" xfId="0" applyFont="1" applyFill="1" applyBorder="1" applyAlignment="1">
      <alignment horizontal="left" vertical="center"/>
    </xf>
    <xf numFmtId="0" fontId="0" fillId="0" borderId="0" xfId="0" pivotButton="1"/>
    <xf numFmtId="0" fontId="0" fillId="0" borderId="0" xfId="0" applyAlignment="1">
      <alignment horizontal="left"/>
    </xf>
    <xf numFmtId="0" fontId="41" fillId="0" borderId="0" xfId="0" applyFont="1" applyAlignment="1">
      <alignment vertical="center"/>
    </xf>
    <xf numFmtId="0" fontId="12" fillId="5" borderId="23" xfId="0" applyFont="1" applyFill="1" applyBorder="1" applyAlignment="1">
      <alignment horizontal="center" vertical="center" wrapText="1"/>
    </xf>
    <xf numFmtId="0" fontId="12" fillId="5" borderId="23" xfId="0" applyFont="1" applyFill="1" applyBorder="1" applyAlignment="1">
      <alignment horizontal="left" vertical="center" wrapText="1"/>
    </xf>
    <xf numFmtId="0" fontId="16" fillId="12" borderId="23" xfId="0" applyFont="1" applyFill="1" applyBorder="1" applyAlignment="1">
      <alignment horizontal="left" vertical="center" wrapText="1"/>
    </xf>
    <xf numFmtId="0" fontId="12" fillId="5" borderId="23" xfId="0" applyFont="1" applyFill="1" applyBorder="1" applyAlignment="1">
      <alignment vertical="center" wrapText="1"/>
    </xf>
    <xf numFmtId="0" fontId="12" fillId="12" borderId="23" xfId="0" applyFont="1" applyFill="1" applyBorder="1" applyAlignment="1">
      <alignment horizontal="left" vertical="center" wrapText="1"/>
    </xf>
    <xf numFmtId="0" fontId="16" fillId="12" borderId="23" xfId="0" applyFont="1" applyFill="1" applyBorder="1" applyAlignment="1">
      <alignment vertical="center" wrapText="1"/>
    </xf>
    <xf numFmtId="0" fontId="16" fillId="12" borderId="23" xfId="1" applyFont="1" applyFill="1" applyBorder="1" applyAlignment="1">
      <alignment horizontal="left" vertical="center" wrapText="1"/>
    </xf>
    <xf numFmtId="0" fontId="12" fillId="12" borderId="23" xfId="1" applyFont="1" applyFill="1" applyBorder="1" applyAlignment="1">
      <alignment horizontal="left" vertical="center" wrapText="1"/>
    </xf>
    <xf numFmtId="0" fontId="12" fillId="5" borderId="23" xfId="1" applyFont="1" applyFill="1" applyBorder="1" applyAlignment="1">
      <alignment horizontal="left" vertical="center" wrapText="1"/>
    </xf>
    <xf numFmtId="0" fontId="49" fillId="23" borderId="8" xfId="0" applyFont="1" applyFill="1" applyBorder="1" applyAlignment="1">
      <alignment horizontal="center" vertical="center" wrapText="1"/>
    </xf>
    <xf numFmtId="0" fontId="49" fillId="23" borderId="10" xfId="0" applyFont="1" applyFill="1" applyBorder="1" applyAlignment="1">
      <alignment horizontal="center" vertical="center" wrapText="1"/>
    </xf>
    <xf numFmtId="0" fontId="50" fillId="23" borderId="10" xfId="0" applyFont="1" applyFill="1" applyBorder="1" applyAlignment="1">
      <alignment horizontal="center" vertical="center" wrapText="1"/>
    </xf>
    <xf numFmtId="0" fontId="51" fillId="24" borderId="24" xfId="0" applyFont="1" applyFill="1" applyBorder="1" applyAlignment="1">
      <alignment vertical="center" wrapText="1"/>
    </xf>
    <xf numFmtId="0" fontId="0" fillId="0" borderId="24" xfId="0" applyBorder="1" applyAlignment="1">
      <alignment vertical="center" wrapText="1"/>
    </xf>
    <xf numFmtId="0" fontId="41" fillId="0" borderId="8" xfId="0" applyFont="1" applyBorder="1" applyAlignment="1">
      <alignment vertical="center"/>
    </xf>
    <xf numFmtId="0" fontId="9" fillId="14" borderId="8" xfId="0" applyFont="1" applyFill="1" applyBorder="1" applyAlignment="1">
      <alignment vertical="center"/>
    </xf>
    <xf numFmtId="0" fontId="9" fillId="0" borderId="13" xfId="0" applyFont="1" applyBorder="1" applyAlignment="1">
      <alignment vertical="center"/>
    </xf>
    <xf numFmtId="0" fontId="0" fillId="0" borderId="0" xfId="0" applyAlignment="1">
      <alignment horizontal="center" vertical="center"/>
    </xf>
    <xf numFmtId="0" fontId="0" fillId="0" borderId="8" xfId="0" applyBorder="1" applyAlignment="1">
      <alignment horizontal="left" vertical="center"/>
    </xf>
    <xf numFmtId="0" fontId="9" fillId="2" borderId="13" xfId="0" applyFont="1" applyFill="1" applyBorder="1" applyAlignment="1">
      <alignment horizontal="left" vertical="center"/>
    </xf>
    <xf numFmtId="0" fontId="9" fillId="2" borderId="18" xfId="0" applyFont="1" applyFill="1" applyBorder="1" applyAlignment="1">
      <alignment horizontal="left" vertical="center"/>
    </xf>
    <xf numFmtId="0" fontId="9" fillId="2" borderId="10" xfId="0" applyFont="1" applyFill="1" applyBorder="1" applyAlignment="1">
      <alignment horizontal="left" vertical="center"/>
    </xf>
    <xf numFmtId="0" fontId="9" fillId="0" borderId="8" xfId="0" applyFont="1" applyBorder="1" applyAlignment="1">
      <alignment horizontal="left" vertical="center"/>
    </xf>
    <xf numFmtId="0" fontId="9" fillId="0" borderId="18" xfId="0" applyFont="1" applyBorder="1" applyAlignment="1">
      <alignment vertical="center"/>
    </xf>
    <xf numFmtId="0" fontId="0" fillId="0" borderId="13" xfId="0" applyBorder="1" applyAlignment="1">
      <alignment vertical="center"/>
    </xf>
    <xf numFmtId="0" fontId="9" fillId="0" borderId="10" xfId="0" applyFont="1" applyBorder="1" applyAlignment="1">
      <alignment vertical="center"/>
    </xf>
    <xf numFmtId="0" fontId="41" fillId="0" borderId="18" xfId="0" applyFont="1" applyBorder="1" applyAlignment="1">
      <alignment vertical="center"/>
    </xf>
    <xf numFmtId="0" fontId="0" fillId="0" borderId="18" xfId="0" applyBorder="1" applyAlignment="1">
      <alignment vertical="center"/>
    </xf>
    <xf numFmtId="14" fontId="0" fillId="0" borderId="8" xfId="0" applyNumberFormat="1" applyBorder="1" applyAlignment="1">
      <alignment horizontal="left" vertical="center"/>
    </xf>
    <xf numFmtId="0" fontId="0" fillId="0" borderId="8" xfId="0" applyBorder="1" applyAlignment="1">
      <alignment horizontal="right" vertical="center"/>
    </xf>
    <xf numFmtId="0" fontId="9" fillId="3" borderId="20" xfId="0" applyFont="1" applyFill="1" applyBorder="1" applyAlignment="1">
      <alignment horizontal="right" vertical="center"/>
    </xf>
    <xf numFmtId="0" fontId="11" fillId="2" borderId="13" xfId="0" applyFont="1" applyFill="1" applyBorder="1" applyAlignment="1">
      <alignment horizontal="left" vertical="center"/>
    </xf>
    <xf numFmtId="0" fontId="9" fillId="3" borderId="27" xfId="0" applyFont="1" applyFill="1" applyBorder="1" applyAlignment="1">
      <alignment horizontal="right" vertical="center"/>
    </xf>
    <xf numFmtId="0" fontId="11" fillId="2" borderId="17" xfId="0" applyFont="1" applyFill="1" applyBorder="1" applyAlignment="1">
      <alignment horizontal="left" vertical="center"/>
    </xf>
    <xf numFmtId="0" fontId="9" fillId="3" borderId="21" xfId="0" applyFont="1" applyFill="1" applyBorder="1" applyAlignment="1">
      <alignment horizontal="right" vertical="center"/>
    </xf>
    <xf numFmtId="0" fontId="11" fillId="2" borderId="10" xfId="0" applyFont="1" applyFill="1" applyBorder="1" applyAlignment="1">
      <alignment horizontal="left" vertical="center"/>
    </xf>
    <xf numFmtId="0" fontId="9" fillId="3" borderId="8" xfId="0" applyFont="1" applyFill="1" applyBorder="1" applyAlignment="1">
      <alignment horizontal="right" vertical="center"/>
    </xf>
    <xf numFmtId="0" fontId="41" fillId="0" borderId="25" xfId="0" applyFont="1" applyBorder="1" applyAlignment="1">
      <alignment vertical="center"/>
    </xf>
    <xf numFmtId="0" fontId="9" fillId="17" borderId="8" xfId="0" applyFont="1" applyFill="1" applyBorder="1" applyAlignment="1">
      <alignment vertical="center"/>
    </xf>
    <xf numFmtId="164" fontId="25" fillId="13" borderId="8" xfId="0" applyNumberFormat="1" applyFont="1" applyFill="1" applyBorder="1" applyAlignment="1">
      <alignment horizontal="center" vertical="top" wrapText="1"/>
    </xf>
    <xf numFmtId="164" fontId="27" fillId="0" borderId="8" xfId="0" applyNumberFormat="1" applyFont="1" applyBorder="1" applyAlignment="1">
      <alignment horizontal="center" wrapText="1"/>
    </xf>
    <xf numFmtId="0" fontId="15" fillId="0" borderId="18" xfId="0" applyFont="1" applyBorder="1" applyAlignment="1">
      <alignment horizontal="center" vertical="center"/>
    </xf>
    <xf numFmtId="0" fontId="15" fillId="11" borderId="20" xfId="0" applyFont="1" applyFill="1" applyBorder="1" applyAlignment="1">
      <alignment vertical="center"/>
    </xf>
    <xf numFmtId="0" fontId="15" fillId="11" borderId="19" xfId="0" applyFont="1" applyFill="1" applyBorder="1" applyAlignment="1">
      <alignment vertical="center"/>
    </xf>
    <xf numFmtId="0" fontId="15" fillId="11" borderId="21" xfId="0" applyFont="1" applyFill="1" applyBorder="1" applyAlignment="1">
      <alignment vertical="center"/>
    </xf>
    <xf numFmtId="0" fontId="15" fillId="8" borderId="20" xfId="0" applyFont="1" applyFill="1" applyBorder="1" applyAlignment="1">
      <alignment vertical="center"/>
    </xf>
    <xf numFmtId="0" fontId="15" fillId="8" borderId="19" xfId="0" applyFont="1" applyFill="1" applyBorder="1" applyAlignment="1">
      <alignment vertical="center"/>
    </xf>
    <xf numFmtId="0" fontId="15" fillId="8" borderId="21" xfId="0" applyFont="1" applyFill="1" applyBorder="1" applyAlignment="1">
      <alignment vertical="center"/>
    </xf>
    <xf numFmtId="0" fontId="15" fillId="3" borderId="11" xfId="0" applyFont="1" applyFill="1" applyBorder="1" applyAlignment="1">
      <alignment vertical="center"/>
    </xf>
    <xf numFmtId="0" fontId="15" fillId="3" borderId="0" xfId="0" applyFont="1" applyFill="1" applyAlignment="1">
      <alignment vertical="center"/>
    </xf>
    <xf numFmtId="0" fontId="15" fillId="3" borderId="22" xfId="0" applyFont="1" applyFill="1" applyBorder="1" applyAlignment="1">
      <alignment vertical="center"/>
    </xf>
    <xf numFmtId="0" fontId="15" fillId="6" borderId="11" xfId="0" applyFont="1" applyFill="1" applyBorder="1" applyAlignment="1">
      <alignment vertical="center"/>
    </xf>
    <xf numFmtId="0" fontId="15" fillId="6" borderId="0" xfId="0" applyFont="1" applyFill="1" applyAlignment="1">
      <alignment vertical="center"/>
    </xf>
    <xf numFmtId="0" fontId="15" fillId="6" borderId="22" xfId="0" applyFont="1" applyFill="1" applyBorder="1" applyAlignment="1">
      <alignment vertical="center"/>
    </xf>
    <xf numFmtId="0" fontId="15" fillId="4" borderId="11" xfId="0" applyFont="1" applyFill="1" applyBorder="1" applyAlignment="1">
      <alignment vertical="center"/>
    </xf>
    <xf numFmtId="0" fontId="15" fillId="4" borderId="0" xfId="0" applyFont="1" applyFill="1" applyAlignment="1">
      <alignment vertical="center"/>
    </xf>
    <xf numFmtId="0" fontId="15" fillId="4" borderId="22" xfId="0" applyFont="1" applyFill="1" applyBorder="1" applyAlignment="1">
      <alignment vertical="center"/>
    </xf>
    <xf numFmtId="0" fontId="15" fillId="9" borderId="11" xfId="0" applyFont="1" applyFill="1" applyBorder="1" applyAlignment="1">
      <alignment vertical="center"/>
    </xf>
    <xf numFmtId="0" fontId="15" fillId="9" borderId="0" xfId="0" applyFont="1" applyFill="1" applyAlignment="1">
      <alignment vertical="center"/>
    </xf>
    <xf numFmtId="0" fontId="15" fillId="9" borderId="22" xfId="0" applyFont="1" applyFill="1" applyBorder="1" applyAlignment="1">
      <alignment vertical="center"/>
    </xf>
    <xf numFmtId="0" fontId="15" fillId="4" borderId="18" xfId="0" applyFont="1" applyFill="1" applyBorder="1" applyAlignment="1">
      <alignment horizontal="center" vertical="center"/>
    </xf>
    <xf numFmtId="0" fontId="8" fillId="10" borderId="17" xfId="0" applyFont="1" applyFill="1" applyBorder="1" applyAlignment="1">
      <alignment horizontal="center" vertical="center"/>
    </xf>
    <xf numFmtId="0" fontId="9" fillId="10" borderId="17" xfId="0" applyFont="1" applyFill="1" applyBorder="1" applyAlignment="1">
      <alignment horizontal="left" vertical="top"/>
    </xf>
    <xf numFmtId="0" fontId="9" fillId="10" borderId="17" xfId="0" applyFont="1" applyFill="1" applyBorder="1" applyAlignment="1">
      <alignment vertical="top"/>
    </xf>
    <xf numFmtId="0" fontId="34" fillId="10" borderId="17" xfId="0" applyFont="1" applyFill="1" applyBorder="1" applyAlignment="1">
      <alignment vertical="top"/>
    </xf>
    <xf numFmtId="0" fontId="35" fillId="10" borderId="17" xfId="0" applyFont="1" applyFill="1" applyBorder="1" applyAlignment="1">
      <alignment vertical="top"/>
    </xf>
    <xf numFmtId="0" fontId="11" fillId="10" borderId="17" xfId="0" applyFont="1" applyFill="1" applyBorder="1" applyAlignment="1">
      <alignment vertical="top"/>
    </xf>
    <xf numFmtId="0" fontId="8" fillId="7" borderId="8" xfId="0" applyFont="1" applyFill="1" applyBorder="1" applyAlignment="1">
      <alignment horizontal="center" vertical="center"/>
    </xf>
    <xf numFmtId="0" fontId="9" fillId="7" borderId="8" xfId="0" applyFont="1" applyFill="1" applyBorder="1" applyAlignment="1">
      <alignment horizontal="right" vertical="center"/>
    </xf>
    <xf numFmtId="0" fontId="11" fillId="7" borderId="8" xfId="0" applyFont="1" applyFill="1" applyBorder="1" applyAlignment="1">
      <alignment horizontal="right" vertical="center"/>
    </xf>
    <xf numFmtId="0" fontId="0" fillId="0" borderId="10" xfId="0" applyBorder="1" applyAlignment="1">
      <alignment vertical="center"/>
    </xf>
    <xf numFmtId="0" fontId="39" fillId="0" borderId="20" xfId="0" applyFont="1" applyBorder="1" applyAlignment="1">
      <alignment vertical="center"/>
    </xf>
    <xf numFmtId="17" fontId="39" fillId="0" borderId="8" xfId="0" applyNumberFormat="1" applyFont="1" applyBorder="1" applyAlignment="1">
      <alignment vertical="center"/>
    </xf>
    <xf numFmtId="0" fontId="11" fillId="2" borderId="20" xfId="0" applyFont="1" applyFill="1" applyBorder="1" applyAlignment="1">
      <alignment horizontal="left" vertical="center"/>
    </xf>
    <xf numFmtId="0" fontId="39" fillId="0" borderId="15" xfId="0" applyFont="1" applyBorder="1" applyAlignment="1">
      <alignment vertical="center"/>
    </xf>
    <xf numFmtId="0" fontId="15" fillId="3" borderId="0" xfId="0" applyFont="1" applyFill="1" applyAlignment="1">
      <alignment horizontal="left" vertical="center"/>
    </xf>
    <xf numFmtId="0" fontId="11" fillId="10" borderId="17" xfId="0" applyFont="1" applyFill="1" applyBorder="1" applyAlignment="1">
      <alignment horizontal="left" vertical="top"/>
    </xf>
    <xf numFmtId="0" fontId="9" fillId="7" borderId="8" xfId="0" applyFont="1" applyFill="1" applyBorder="1" applyAlignment="1">
      <alignment horizontal="left" vertical="center"/>
    </xf>
    <xf numFmtId="0" fontId="9" fillId="3" borderId="8" xfId="0" applyFont="1" applyFill="1" applyBorder="1" applyAlignment="1">
      <alignment horizontal="left" vertical="center"/>
    </xf>
    <xf numFmtId="0" fontId="9" fillId="3" borderId="27" xfId="0" applyFont="1" applyFill="1" applyBorder="1" applyAlignment="1">
      <alignment horizontal="left" vertical="center"/>
    </xf>
    <xf numFmtId="0" fontId="39" fillId="0" borderId="8" xfId="0" applyFont="1" applyBorder="1" applyAlignment="1">
      <alignment horizontal="left" vertical="center"/>
    </xf>
    <xf numFmtId="0" fontId="9" fillId="25" borderId="10" xfId="0" applyFont="1" applyFill="1" applyBorder="1" applyAlignment="1">
      <alignment horizontal="left"/>
    </xf>
    <xf numFmtId="0" fontId="0" fillId="0" borderId="0" xfId="0" applyAlignment="1">
      <alignment horizontal="left" vertical="center"/>
    </xf>
    <xf numFmtId="0" fontId="39" fillId="0" borderId="20" xfId="0" applyFont="1" applyBorder="1" applyAlignment="1">
      <alignment vertical="center" wrapText="1"/>
    </xf>
    <xf numFmtId="0" fontId="15" fillId="11" borderId="19" xfId="0" applyFont="1" applyFill="1" applyBorder="1" applyAlignment="1">
      <alignment vertical="center" wrapText="1"/>
    </xf>
    <xf numFmtId="0" fontId="48" fillId="0" borderId="0" xfId="0" applyFont="1" applyAlignment="1">
      <alignment vertical="center" wrapText="1"/>
    </xf>
    <xf numFmtId="0" fontId="34" fillId="10" borderId="17" xfId="0" applyFont="1" applyFill="1" applyBorder="1" applyAlignment="1">
      <alignment vertical="top" wrapText="1"/>
    </xf>
    <xf numFmtId="0" fontId="8" fillId="0" borderId="17" xfId="0" applyFont="1" applyBorder="1" applyAlignment="1">
      <alignment horizontal="center" vertical="center" wrapText="1"/>
    </xf>
    <xf numFmtId="0" fontId="9" fillId="0" borderId="17" xfId="0" applyFont="1" applyBorder="1" applyAlignment="1">
      <alignment vertical="center" wrapText="1"/>
    </xf>
    <xf numFmtId="0" fontId="11" fillId="2" borderId="8" xfId="0" applyFont="1" applyFill="1" applyBorder="1" applyAlignment="1">
      <alignment horizontal="left" vertical="center" wrapText="1"/>
    </xf>
    <xf numFmtId="0" fontId="11" fillId="0" borderId="8" xfId="0" applyFont="1" applyBorder="1" applyAlignment="1">
      <alignment vertical="center" wrapText="1"/>
    </xf>
    <xf numFmtId="0" fontId="47" fillId="0" borderId="0" xfId="0" applyFont="1" applyAlignment="1">
      <alignment wrapText="1"/>
    </xf>
    <xf numFmtId="0" fontId="9" fillId="0" borderId="13" xfId="0" applyFont="1" applyBorder="1" applyAlignment="1">
      <alignment vertical="center" wrapText="1"/>
    </xf>
    <xf numFmtId="0" fontId="41" fillId="0" borderId="8" xfId="0" applyFont="1" applyBorder="1" applyAlignment="1">
      <alignment vertical="center" wrapText="1"/>
    </xf>
    <xf numFmtId="0" fontId="11" fillId="2" borderId="10" xfId="0" applyFont="1" applyFill="1" applyBorder="1" applyAlignment="1">
      <alignment horizontal="left" vertical="center" wrapText="1"/>
    </xf>
    <xf numFmtId="0" fontId="42" fillId="14" borderId="8" xfId="0" applyFont="1" applyFill="1" applyBorder="1" applyAlignment="1">
      <alignment wrapText="1"/>
    </xf>
    <xf numFmtId="17" fontId="39" fillId="0" borderId="8" xfId="0" applyNumberFormat="1" applyFont="1" applyBorder="1" applyAlignment="1">
      <alignment vertical="center" wrapText="1"/>
    </xf>
    <xf numFmtId="0" fontId="39" fillId="0" borderId="8" xfId="0" applyFont="1" applyBorder="1" applyAlignment="1">
      <alignment horizontal="left" vertical="center" wrapText="1"/>
    </xf>
    <xf numFmtId="0" fontId="11" fillId="2" borderId="15" xfId="0" applyFont="1" applyFill="1" applyBorder="1" applyAlignment="1">
      <alignment horizontal="left" vertical="center" wrapText="1"/>
    </xf>
    <xf numFmtId="0" fontId="46" fillId="0" borderId="0" xfId="0" applyFont="1"/>
    <xf numFmtId="0" fontId="46" fillId="0" borderId="24" xfId="0" applyFont="1" applyBorder="1"/>
    <xf numFmtId="0" fontId="47" fillId="0" borderId="0" xfId="0" applyFont="1"/>
    <xf numFmtId="0" fontId="40" fillId="0" borderId="8" xfId="0" applyFont="1" applyBorder="1"/>
    <xf numFmtId="0" fontId="42" fillId="14" borderId="8" xfId="0" applyFont="1" applyFill="1" applyBorder="1"/>
    <xf numFmtId="0" fontId="40" fillId="0" borderId="0" xfId="0" applyFont="1"/>
    <xf numFmtId="0" fontId="55" fillId="26" borderId="0" xfId="0" applyFont="1" applyFill="1"/>
    <xf numFmtId="0" fontId="41" fillId="0" borderId="0" xfId="0" applyFont="1"/>
    <xf numFmtId="0" fontId="37" fillId="26" borderId="0" xfId="0" applyFont="1" applyFill="1"/>
    <xf numFmtId="0" fontId="41" fillId="0" borderId="8" xfId="0" applyFont="1" applyBorder="1"/>
    <xf numFmtId="0" fontId="59" fillId="0" borderId="0" xfId="0" applyFont="1"/>
    <xf numFmtId="0" fontId="57" fillId="0" borderId="8" xfId="0" applyFont="1" applyBorder="1"/>
    <xf numFmtId="0" fontId="9" fillId="0" borderId="10" xfId="0" applyFont="1" applyBorder="1"/>
    <xf numFmtId="0" fontId="56" fillId="0" borderId="10" xfId="0" applyFont="1" applyBorder="1"/>
    <xf numFmtId="0" fontId="57" fillId="0" borderId="10" xfId="0" applyFont="1" applyBorder="1"/>
    <xf numFmtId="0" fontId="9" fillId="25" borderId="10" xfId="0" applyFont="1" applyFill="1" applyBorder="1"/>
    <xf numFmtId="0" fontId="54" fillId="0" borderId="0" xfId="0" applyFont="1"/>
    <xf numFmtId="4" fontId="54" fillId="0" borderId="0" xfId="0" applyNumberFormat="1" applyFont="1"/>
    <xf numFmtId="0" fontId="10" fillId="25" borderId="8" xfId="0" applyFont="1" applyFill="1" applyBorder="1"/>
    <xf numFmtId="0" fontId="58" fillId="0" borderId="0" xfId="0" applyFont="1"/>
    <xf numFmtId="0" fontId="59" fillId="2" borderId="28" xfId="0" applyFont="1" applyFill="1" applyBorder="1"/>
    <xf numFmtId="0" fontId="59" fillId="14" borderId="28" xfId="0" applyFont="1" applyFill="1" applyBorder="1"/>
    <xf numFmtId="0" fontId="37" fillId="0" borderId="0" xfId="0" applyFont="1"/>
    <xf numFmtId="0" fontId="52" fillId="0" borderId="0" xfId="0" applyFont="1"/>
    <xf numFmtId="0" fontId="42" fillId="0" borderId="0" xfId="0" applyFont="1"/>
    <xf numFmtId="0" fontId="53" fillId="0" borderId="0" xfId="0" applyFont="1"/>
    <xf numFmtId="0" fontId="44" fillId="0" borderId="0" xfId="0" applyFont="1"/>
    <xf numFmtId="0" fontId="45" fillId="0" borderId="0" xfId="0" applyFont="1"/>
    <xf numFmtId="0" fontId="43" fillId="0" borderId="8" xfId="0" applyFont="1" applyBorder="1"/>
    <xf numFmtId="0" fontId="37" fillId="0" borderId="8" xfId="0" applyFont="1" applyBorder="1"/>
    <xf numFmtId="0" fontId="43" fillId="0" borderId="0" xfId="0" applyFont="1"/>
    <xf numFmtId="0" fontId="0" fillId="0" borderId="8" xfId="0" applyBorder="1"/>
    <xf numFmtId="0" fontId="60" fillId="0" borderId="8" xfId="0" applyFont="1" applyBorder="1" applyAlignment="1">
      <alignment vertical="center"/>
    </xf>
    <xf numFmtId="0" fontId="9" fillId="3" borderId="8" xfId="0" applyFont="1" applyFill="1" applyBorder="1" applyAlignment="1">
      <alignment vertical="center" wrapText="1"/>
    </xf>
    <xf numFmtId="0" fontId="9" fillId="3" borderId="8" xfId="0" applyFont="1" applyFill="1" applyBorder="1" applyAlignment="1">
      <alignment vertical="center"/>
    </xf>
    <xf numFmtId="0" fontId="61" fillId="0" borderId="8" xfId="0" applyFont="1" applyBorder="1"/>
    <xf numFmtId="0" fontId="41" fillId="0" borderId="29" xfId="0" applyFont="1" applyBorder="1" applyAlignment="1">
      <alignment vertical="center"/>
    </xf>
    <xf numFmtId="0" fontId="9" fillId="2" borderId="16" xfId="0" applyFont="1" applyFill="1" applyBorder="1" applyAlignment="1">
      <alignment horizontal="left" vertical="center"/>
    </xf>
    <xf numFmtId="0" fontId="41" fillId="0" borderId="17" xfId="0" applyFont="1" applyBorder="1" applyAlignment="1">
      <alignment vertical="center"/>
    </xf>
    <xf numFmtId="0" fontId="57" fillId="0" borderId="16" xfId="0" applyFont="1" applyBorder="1"/>
    <xf numFmtId="0" fontId="9" fillId="14" borderId="17" xfId="0" applyFont="1" applyFill="1" applyBorder="1" applyAlignment="1">
      <alignment vertical="center" wrapText="1"/>
    </xf>
    <xf numFmtId="0" fontId="9" fillId="14" borderId="8" xfId="0" applyFont="1" applyFill="1" applyBorder="1" applyAlignment="1">
      <alignment vertical="center" wrapText="1"/>
    </xf>
    <xf numFmtId="0" fontId="9" fillId="2" borderId="17" xfId="0" applyFont="1" applyFill="1" applyBorder="1" applyAlignment="1">
      <alignment horizontal="left" vertical="center" wrapText="1"/>
    </xf>
    <xf numFmtId="0" fontId="0" fillId="0" borderId="29" xfId="0" applyBorder="1" applyAlignment="1">
      <alignment vertical="center"/>
    </xf>
    <xf numFmtId="0" fontId="11" fillId="10" borderId="8" xfId="0" applyFont="1" applyFill="1" applyBorder="1" applyAlignment="1">
      <alignment vertical="top"/>
    </xf>
    <xf numFmtId="14" fontId="9" fillId="3" borderId="26" xfId="0" applyNumberFormat="1" applyFont="1" applyFill="1" applyBorder="1" applyAlignment="1">
      <alignment horizontal="right" vertical="center"/>
    </xf>
    <xf numFmtId="14" fontId="9" fillId="3" borderId="18" xfId="0" applyNumberFormat="1" applyFont="1" applyFill="1" applyBorder="1" applyAlignment="1">
      <alignment horizontal="right" vertical="center"/>
    </xf>
    <xf numFmtId="14" fontId="58" fillId="0" borderId="8" xfId="0" applyNumberFormat="1" applyFont="1" applyBorder="1"/>
    <xf numFmtId="14" fontId="58" fillId="0" borderId="0" xfId="0" applyNumberFormat="1" applyFont="1"/>
    <xf numFmtId="14" fontId="58" fillId="0" borderId="0" xfId="0" applyNumberFormat="1" applyFont="1" applyAlignment="1">
      <alignment wrapText="1"/>
    </xf>
    <xf numFmtId="0" fontId="15" fillId="4" borderId="13"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15" fillId="6" borderId="15"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11" borderId="13" xfId="0" applyFont="1" applyFill="1" applyBorder="1" applyAlignment="1">
      <alignment horizontal="left" vertical="center" wrapText="1"/>
    </xf>
    <xf numFmtId="0" fontId="15" fillId="11" borderId="14" xfId="0" applyFont="1" applyFill="1" applyBorder="1" applyAlignment="1">
      <alignment horizontal="left" vertical="center" wrapText="1"/>
    </xf>
    <xf numFmtId="0" fontId="15" fillId="11" borderId="10"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5" fillId="9" borderId="15"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7" fillId="0" borderId="11" xfId="1" applyFont="1" applyBorder="1" applyAlignment="1">
      <alignment horizontal="left" wrapText="1"/>
    </xf>
    <xf numFmtId="0" fontId="7" fillId="0" borderId="0" xfId="1" applyFont="1" applyAlignment="1">
      <alignment horizontal="left" wrapText="1"/>
    </xf>
    <xf numFmtId="0" fontId="6" fillId="2" borderId="0" xfId="1" applyFont="1" applyFill="1" applyAlignment="1">
      <alignment horizontal="center" vertical="center" wrapText="1"/>
    </xf>
  </cellXfs>
  <cellStyles count="3">
    <cellStyle name="Hyperlink" xfId="2" builtinId="8"/>
    <cellStyle name="Normal" xfId="0" builtinId="0"/>
    <cellStyle name="Normal 2" xfId="1" xr:uid="{00000000-0005-0000-0000-000002000000}"/>
  </cellStyles>
  <dxfs count="10">
    <dxf>
      <numFmt numFmtId="166" formatCode="dd/mm/yyyy"/>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9" defaultPivotStyle="PivotStyleLight16"/>
  <colors>
    <mruColors>
      <color rgb="FFF5F2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xdr:col>
      <xdr:colOff>1292225</xdr:colOff>
      <xdr:row>1</xdr:row>
      <xdr:rowOff>100012</xdr:rowOff>
    </xdr:from>
    <xdr:to>
      <xdr:col>2</xdr:col>
      <xdr:colOff>1460500</xdr:colOff>
      <xdr:row>1</xdr:row>
      <xdr:rowOff>238125</xdr:rowOff>
    </xdr:to>
    <xdr:sp macro="" textlink="">
      <xdr:nvSpPr>
        <xdr:cNvPr id="4" name="Freeform 45">
          <a:extLst>
            <a:ext uri="{FF2B5EF4-FFF2-40B4-BE49-F238E27FC236}">
              <a16:creationId xmlns:a16="http://schemas.microsoft.com/office/drawing/2014/main" id="{FC46EB29-442D-473B-862E-D357D4CCC98E}"/>
            </a:ext>
          </a:extLst>
        </xdr:cNvPr>
        <xdr:cNvSpPr>
          <a:spLocks/>
        </xdr:cNvSpPr>
      </xdr:nvSpPr>
      <xdr:spPr bwMode="auto">
        <a:xfrm>
          <a:off x="1723118" y="292780"/>
          <a:ext cx="168275" cy="138113"/>
        </a:xfrm>
        <a:custGeom>
          <a:avLst/>
          <a:gdLst>
            <a:gd name="T0" fmla="*/ 72 w 109"/>
            <a:gd name="T1" fmla="*/ 62 h 89"/>
            <a:gd name="T2" fmla="*/ 109 w 109"/>
            <a:gd name="T3" fmla="*/ 25 h 89"/>
            <a:gd name="T4" fmla="*/ 82 w 109"/>
            <a:gd name="T5" fmla="*/ 0 h 89"/>
            <a:gd name="T6" fmla="*/ 29 w 109"/>
            <a:gd name="T7" fmla="*/ 57 h 89"/>
            <a:gd name="T8" fmla="*/ 0 w 109"/>
            <a:gd name="T9" fmla="*/ 83 h 89"/>
            <a:gd name="T10" fmla="*/ 22 w 109"/>
            <a:gd name="T11" fmla="*/ 89 h 89"/>
            <a:gd name="T12" fmla="*/ 72 w 109"/>
            <a:gd name="T13" fmla="*/ 73 h 89"/>
            <a:gd name="T14" fmla="*/ 47 w 109"/>
            <a:gd name="T15" fmla="*/ 50 h 89"/>
            <a:gd name="T16" fmla="*/ 72 w 109"/>
            <a:gd name="T17" fmla="*/ 62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09" h="89">
              <a:moveTo>
                <a:pt x="72" y="62"/>
              </a:moveTo>
              <a:cubicBezTo>
                <a:pt x="93" y="62"/>
                <a:pt x="109" y="45"/>
                <a:pt x="109" y="25"/>
              </a:cubicBezTo>
              <a:cubicBezTo>
                <a:pt x="108" y="16"/>
                <a:pt x="104" y="0"/>
                <a:pt x="82" y="0"/>
              </a:cubicBezTo>
              <a:cubicBezTo>
                <a:pt x="57" y="0"/>
                <a:pt x="49" y="35"/>
                <a:pt x="29" y="57"/>
              </a:cubicBezTo>
              <a:cubicBezTo>
                <a:pt x="27" y="70"/>
                <a:pt x="15" y="81"/>
                <a:pt x="0" y="83"/>
              </a:cubicBezTo>
              <a:cubicBezTo>
                <a:pt x="4" y="87"/>
                <a:pt x="12" y="89"/>
                <a:pt x="22" y="89"/>
              </a:cubicBezTo>
              <a:cubicBezTo>
                <a:pt x="39" y="89"/>
                <a:pt x="61" y="84"/>
                <a:pt x="72" y="73"/>
              </a:cubicBezTo>
              <a:cubicBezTo>
                <a:pt x="57" y="73"/>
                <a:pt x="48" y="63"/>
                <a:pt x="47" y="50"/>
              </a:cubicBezTo>
              <a:cubicBezTo>
                <a:pt x="54" y="58"/>
                <a:pt x="62" y="62"/>
                <a:pt x="72" y="62"/>
              </a:cubicBezTo>
              <a:close/>
            </a:path>
          </a:pathLst>
        </a:custGeom>
        <a:solidFill>
          <a:srgbClr val="00B9E7"/>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0</xdr:colOff>
      <xdr:row>1</xdr:row>
      <xdr:rowOff>3175</xdr:rowOff>
    </xdr:from>
    <xdr:to>
      <xdr:col>2</xdr:col>
      <xdr:colOff>1185862</xdr:colOff>
      <xdr:row>1</xdr:row>
      <xdr:rowOff>328613</xdr:rowOff>
    </xdr:to>
    <xdr:sp macro="" textlink="">
      <xdr:nvSpPr>
        <xdr:cNvPr id="5" name="Freeform 46">
          <a:extLst>
            <a:ext uri="{FF2B5EF4-FFF2-40B4-BE49-F238E27FC236}">
              <a16:creationId xmlns:a16="http://schemas.microsoft.com/office/drawing/2014/main" id="{8EBC5F30-EDEA-4FC6-AB3F-681CC182C7B5}"/>
            </a:ext>
          </a:extLst>
        </xdr:cNvPr>
        <xdr:cNvSpPr>
          <a:spLocks noEditPoints="1"/>
        </xdr:cNvSpPr>
      </xdr:nvSpPr>
      <xdr:spPr bwMode="auto">
        <a:xfrm>
          <a:off x="430893" y="195943"/>
          <a:ext cx="1185862" cy="325438"/>
        </a:xfrm>
        <a:custGeom>
          <a:avLst/>
          <a:gdLst>
            <a:gd name="T0" fmla="*/ 741 w 768"/>
            <a:gd name="T1" fmla="*/ 50 h 209"/>
            <a:gd name="T2" fmla="*/ 717 w 768"/>
            <a:gd name="T3" fmla="*/ 122 h 209"/>
            <a:gd name="T4" fmla="*/ 649 w 768"/>
            <a:gd name="T5" fmla="*/ 106 h 209"/>
            <a:gd name="T6" fmla="*/ 648 w 768"/>
            <a:gd name="T7" fmla="*/ 61 h 209"/>
            <a:gd name="T8" fmla="*/ 614 w 768"/>
            <a:gd name="T9" fmla="*/ 123 h 209"/>
            <a:gd name="T10" fmla="*/ 583 w 768"/>
            <a:gd name="T11" fmla="*/ 49 h 209"/>
            <a:gd name="T12" fmla="*/ 534 w 768"/>
            <a:gd name="T13" fmla="*/ 50 h 209"/>
            <a:gd name="T14" fmla="*/ 480 w 768"/>
            <a:gd name="T15" fmla="*/ 42 h 209"/>
            <a:gd name="T16" fmla="*/ 452 w 768"/>
            <a:gd name="T17" fmla="*/ 94 h 209"/>
            <a:gd name="T18" fmla="*/ 437 w 768"/>
            <a:gd name="T19" fmla="*/ 48 h 209"/>
            <a:gd name="T20" fmla="*/ 385 w 768"/>
            <a:gd name="T21" fmla="*/ 116 h 209"/>
            <a:gd name="T22" fmla="*/ 392 w 768"/>
            <a:gd name="T23" fmla="*/ 48 h 209"/>
            <a:gd name="T24" fmla="*/ 363 w 768"/>
            <a:gd name="T25" fmla="*/ 114 h 209"/>
            <a:gd name="T26" fmla="*/ 339 w 768"/>
            <a:gd name="T27" fmla="*/ 66 h 209"/>
            <a:gd name="T28" fmla="*/ 305 w 768"/>
            <a:gd name="T29" fmla="*/ 115 h 209"/>
            <a:gd name="T30" fmla="*/ 339 w 768"/>
            <a:gd name="T31" fmla="*/ 60 h 209"/>
            <a:gd name="T32" fmla="*/ 285 w 768"/>
            <a:gd name="T33" fmla="*/ 69 h 209"/>
            <a:gd name="T34" fmla="*/ 262 w 768"/>
            <a:gd name="T35" fmla="*/ 86 h 209"/>
            <a:gd name="T36" fmla="*/ 213 w 768"/>
            <a:gd name="T37" fmla="*/ 65 h 209"/>
            <a:gd name="T38" fmla="*/ 194 w 768"/>
            <a:gd name="T39" fmla="*/ 53 h 209"/>
            <a:gd name="T40" fmla="*/ 179 w 768"/>
            <a:gd name="T41" fmla="*/ 125 h 209"/>
            <a:gd name="T42" fmla="*/ 162 w 768"/>
            <a:gd name="T43" fmla="*/ 73 h 209"/>
            <a:gd name="T44" fmla="*/ 130 w 768"/>
            <a:gd name="T45" fmla="*/ 123 h 209"/>
            <a:gd name="T46" fmla="*/ 165 w 768"/>
            <a:gd name="T47" fmla="*/ 66 h 209"/>
            <a:gd name="T48" fmla="*/ 105 w 768"/>
            <a:gd name="T49" fmla="*/ 85 h 209"/>
            <a:gd name="T50" fmla="*/ 22 w 768"/>
            <a:gd name="T51" fmla="*/ 75 h 209"/>
            <a:gd name="T52" fmla="*/ 79 w 768"/>
            <a:gd name="T53" fmla="*/ 43 h 209"/>
            <a:gd name="T54" fmla="*/ 63 w 768"/>
            <a:gd name="T55" fmla="*/ 0 h 209"/>
            <a:gd name="T56" fmla="*/ 52 w 768"/>
            <a:gd name="T57" fmla="*/ 145 h 209"/>
            <a:gd name="T58" fmla="*/ 126 w 768"/>
            <a:gd name="T59" fmla="*/ 139 h 209"/>
            <a:gd name="T60" fmla="*/ 177 w 768"/>
            <a:gd name="T61" fmla="*/ 139 h 209"/>
            <a:gd name="T62" fmla="*/ 218 w 768"/>
            <a:gd name="T63" fmla="*/ 196 h 209"/>
            <a:gd name="T64" fmla="*/ 234 w 768"/>
            <a:gd name="T65" fmla="*/ 64 h 209"/>
            <a:gd name="T66" fmla="*/ 243 w 768"/>
            <a:gd name="T67" fmla="*/ 106 h 209"/>
            <a:gd name="T68" fmla="*/ 227 w 768"/>
            <a:gd name="T69" fmla="*/ 139 h 209"/>
            <a:gd name="T70" fmla="*/ 278 w 768"/>
            <a:gd name="T71" fmla="*/ 93 h 209"/>
            <a:gd name="T72" fmla="*/ 300 w 768"/>
            <a:gd name="T73" fmla="*/ 132 h 209"/>
            <a:gd name="T74" fmla="*/ 326 w 768"/>
            <a:gd name="T75" fmla="*/ 131 h 209"/>
            <a:gd name="T76" fmla="*/ 304 w 768"/>
            <a:gd name="T77" fmla="*/ 209 h 209"/>
            <a:gd name="T78" fmla="*/ 370 w 768"/>
            <a:gd name="T79" fmla="*/ 125 h 209"/>
            <a:gd name="T80" fmla="*/ 439 w 768"/>
            <a:gd name="T81" fmla="*/ 110 h 209"/>
            <a:gd name="T82" fmla="*/ 479 w 768"/>
            <a:gd name="T83" fmla="*/ 65 h 209"/>
            <a:gd name="T84" fmla="*/ 532 w 768"/>
            <a:gd name="T85" fmla="*/ 75 h 209"/>
            <a:gd name="T86" fmla="*/ 584 w 768"/>
            <a:gd name="T87" fmla="*/ 103 h 209"/>
            <a:gd name="T88" fmla="*/ 635 w 768"/>
            <a:gd name="T89" fmla="*/ 117 h 209"/>
            <a:gd name="T90" fmla="*/ 679 w 768"/>
            <a:gd name="T91" fmla="*/ 65 h 209"/>
            <a:gd name="T92" fmla="*/ 737 w 768"/>
            <a:gd name="T93" fmla="*/ 114 h 209"/>
            <a:gd name="T94" fmla="*/ 768 w 768"/>
            <a:gd name="T95" fmla="*/ 132 h 209"/>
            <a:gd name="T96" fmla="*/ 305 w 768"/>
            <a:gd name="T97" fmla="*/ 195 h 209"/>
            <a:gd name="T98" fmla="*/ 326 w 768"/>
            <a:gd name="T99" fmla="*/ 144 h 209"/>
            <a:gd name="T100" fmla="*/ 390 w 768"/>
            <a:gd name="T101" fmla="*/ 61 h 209"/>
            <a:gd name="T102" fmla="*/ 379 w 768"/>
            <a:gd name="T103" fmla="*/ 106 h 2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768" h="209">
              <a:moveTo>
                <a:pt x="749" y="69"/>
              </a:moveTo>
              <a:cubicBezTo>
                <a:pt x="749" y="58"/>
                <a:pt x="748" y="50"/>
                <a:pt x="741" y="50"/>
              </a:cubicBezTo>
              <a:cubicBezTo>
                <a:pt x="738" y="50"/>
                <a:pt x="736" y="51"/>
                <a:pt x="733" y="52"/>
              </a:cubicBezTo>
              <a:cubicBezTo>
                <a:pt x="736" y="89"/>
                <a:pt x="727" y="122"/>
                <a:pt x="717" y="122"/>
              </a:cubicBezTo>
              <a:cubicBezTo>
                <a:pt x="704" y="122"/>
                <a:pt x="710" y="42"/>
                <a:pt x="682" y="42"/>
              </a:cubicBezTo>
              <a:cubicBezTo>
                <a:pt x="656" y="42"/>
                <a:pt x="652" y="106"/>
                <a:pt x="649" y="106"/>
              </a:cubicBezTo>
              <a:cubicBezTo>
                <a:pt x="647" y="106"/>
                <a:pt x="647" y="89"/>
                <a:pt x="647" y="76"/>
              </a:cubicBezTo>
              <a:cubicBezTo>
                <a:pt x="648" y="70"/>
                <a:pt x="648" y="65"/>
                <a:pt x="648" y="61"/>
              </a:cubicBezTo>
              <a:cubicBezTo>
                <a:pt x="648" y="55"/>
                <a:pt x="646" y="45"/>
                <a:pt x="632" y="50"/>
              </a:cubicBezTo>
              <a:cubicBezTo>
                <a:pt x="633" y="95"/>
                <a:pt x="624" y="123"/>
                <a:pt x="614" y="123"/>
              </a:cubicBezTo>
              <a:cubicBezTo>
                <a:pt x="599" y="123"/>
                <a:pt x="598" y="81"/>
                <a:pt x="598" y="70"/>
              </a:cubicBezTo>
              <a:cubicBezTo>
                <a:pt x="598" y="59"/>
                <a:pt x="599" y="44"/>
                <a:pt x="583" y="49"/>
              </a:cubicBezTo>
              <a:cubicBezTo>
                <a:pt x="580" y="89"/>
                <a:pt x="570" y="119"/>
                <a:pt x="563" y="119"/>
              </a:cubicBezTo>
              <a:cubicBezTo>
                <a:pt x="553" y="119"/>
                <a:pt x="555" y="50"/>
                <a:pt x="534" y="50"/>
              </a:cubicBezTo>
              <a:cubicBezTo>
                <a:pt x="515" y="50"/>
                <a:pt x="509" y="115"/>
                <a:pt x="505" y="115"/>
              </a:cubicBezTo>
              <a:cubicBezTo>
                <a:pt x="498" y="115"/>
                <a:pt x="508" y="42"/>
                <a:pt x="480" y="42"/>
              </a:cubicBezTo>
              <a:cubicBezTo>
                <a:pt x="466" y="42"/>
                <a:pt x="460" y="67"/>
                <a:pt x="454" y="94"/>
              </a:cubicBezTo>
              <a:cubicBezTo>
                <a:pt x="453" y="99"/>
                <a:pt x="452" y="99"/>
                <a:pt x="452" y="94"/>
              </a:cubicBezTo>
              <a:cubicBezTo>
                <a:pt x="452" y="89"/>
                <a:pt x="452" y="83"/>
                <a:pt x="452" y="78"/>
              </a:cubicBezTo>
              <a:cubicBezTo>
                <a:pt x="459" y="51"/>
                <a:pt x="450" y="41"/>
                <a:pt x="437" y="48"/>
              </a:cubicBezTo>
              <a:cubicBezTo>
                <a:pt x="442" y="99"/>
                <a:pt x="418" y="123"/>
                <a:pt x="400" y="123"/>
              </a:cubicBezTo>
              <a:cubicBezTo>
                <a:pt x="394" y="123"/>
                <a:pt x="389" y="121"/>
                <a:pt x="385" y="116"/>
              </a:cubicBezTo>
              <a:cubicBezTo>
                <a:pt x="407" y="103"/>
                <a:pt x="416" y="88"/>
                <a:pt x="416" y="73"/>
              </a:cubicBezTo>
              <a:cubicBezTo>
                <a:pt x="416" y="57"/>
                <a:pt x="407" y="48"/>
                <a:pt x="392" y="48"/>
              </a:cubicBezTo>
              <a:cubicBezTo>
                <a:pt x="370" y="48"/>
                <a:pt x="359" y="70"/>
                <a:pt x="359" y="89"/>
              </a:cubicBezTo>
              <a:cubicBezTo>
                <a:pt x="359" y="99"/>
                <a:pt x="360" y="107"/>
                <a:pt x="363" y="114"/>
              </a:cubicBezTo>
              <a:cubicBezTo>
                <a:pt x="356" y="118"/>
                <a:pt x="349" y="121"/>
                <a:pt x="343" y="124"/>
              </a:cubicBezTo>
              <a:cubicBezTo>
                <a:pt x="342" y="104"/>
                <a:pt x="340" y="84"/>
                <a:pt x="339" y="66"/>
              </a:cubicBezTo>
              <a:cubicBezTo>
                <a:pt x="327" y="63"/>
                <a:pt x="324" y="68"/>
                <a:pt x="323" y="78"/>
              </a:cubicBezTo>
              <a:cubicBezTo>
                <a:pt x="321" y="101"/>
                <a:pt x="313" y="115"/>
                <a:pt x="305" y="115"/>
              </a:cubicBezTo>
              <a:cubicBezTo>
                <a:pt x="299" y="115"/>
                <a:pt x="296" y="109"/>
                <a:pt x="295" y="101"/>
              </a:cubicBezTo>
              <a:cubicBezTo>
                <a:pt x="293" y="64"/>
                <a:pt x="323" y="54"/>
                <a:pt x="339" y="60"/>
              </a:cubicBezTo>
              <a:cubicBezTo>
                <a:pt x="342" y="51"/>
                <a:pt x="339" y="46"/>
                <a:pt x="324" y="46"/>
              </a:cubicBezTo>
              <a:cubicBezTo>
                <a:pt x="307" y="46"/>
                <a:pt x="295" y="56"/>
                <a:pt x="285" y="69"/>
              </a:cubicBezTo>
              <a:cubicBezTo>
                <a:pt x="279" y="78"/>
                <a:pt x="272" y="85"/>
                <a:pt x="262" y="92"/>
              </a:cubicBezTo>
              <a:cubicBezTo>
                <a:pt x="262" y="90"/>
                <a:pt x="262" y="88"/>
                <a:pt x="262" y="86"/>
              </a:cubicBezTo>
              <a:cubicBezTo>
                <a:pt x="262" y="60"/>
                <a:pt x="248" y="48"/>
                <a:pt x="235" y="48"/>
              </a:cubicBezTo>
              <a:cubicBezTo>
                <a:pt x="224" y="48"/>
                <a:pt x="217" y="55"/>
                <a:pt x="213" y="65"/>
              </a:cubicBezTo>
              <a:cubicBezTo>
                <a:pt x="212" y="55"/>
                <a:pt x="210" y="50"/>
                <a:pt x="204" y="50"/>
              </a:cubicBezTo>
              <a:cubicBezTo>
                <a:pt x="201" y="50"/>
                <a:pt x="198" y="51"/>
                <a:pt x="194" y="53"/>
              </a:cubicBezTo>
              <a:cubicBezTo>
                <a:pt x="196" y="59"/>
                <a:pt x="196" y="71"/>
                <a:pt x="196" y="80"/>
              </a:cubicBezTo>
              <a:cubicBezTo>
                <a:pt x="196" y="111"/>
                <a:pt x="187" y="125"/>
                <a:pt x="179" y="125"/>
              </a:cubicBezTo>
              <a:cubicBezTo>
                <a:pt x="169" y="125"/>
                <a:pt x="167" y="88"/>
                <a:pt x="167" y="74"/>
              </a:cubicBezTo>
              <a:cubicBezTo>
                <a:pt x="165" y="73"/>
                <a:pt x="164" y="73"/>
                <a:pt x="162" y="73"/>
              </a:cubicBezTo>
              <a:cubicBezTo>
                <a:pt x="153" y="73"/>
                <a:pt x="152" y="85"/>
                <a:pt x="150" y="96"/>
              </a:cubicBezTo>
              <a:cubicBezTo>
                <a:pt x="147" y="108"/>
                <a:pt x="140" y="123"/>
                <a:pt x="130" y="123"/>
              </a:cubicBezTo>
              <a:cubicBezTo>
                <a:pt x="123" y="123"/>
                <a:pt x="119" y="117"/>
                <a:pt x="119" y="106"/>
              </a:cubicBezTo>
              <a:cubicBezTo>
                <a:pt x="118" y="84"/>
                <a:pt x="136" y="58"/>
                <a:pt x="165" y="66"/>
              </a:cubicBezTo>
              <a:cubicBezTo>
                <a:pt x="169" y="57"/>
                <a:pt x="163" y="51"/>
                <a:pt x="151" y="51"/>
              </a:cubicBezTo>
              <a:cubicBezTo>
                <a:pt x="130" y="51"/>
                <a:pt x="113" y="66"/>
                <a:pt x="105" y="85"/>
              </a:cubicBezTo>
              <a:cubicBezTo>
                <a:pt x="97" y="102"/>
                <a:pt x="84" y="127"/>
                <a:pt x="57" y="127"/>
              </a:cubicBezTo>
              <a:cubicBezTo>
                <a:pt x="37" y="127"/>
                <a:pt x="22" y="110"/>
                <a:pt x="22" y="75"/>
              </a:cubicBezTo>
              <a:cubicBezTo>
                <a:pt x="22" y="44"/>
                <a:pt x="42" y="15"/>
                <a:pt x="62" y="15"/>
              </a:cubicBezTo>
              <a:cubicBezTo>
                <a:pt x="76" y="15"/>
                <a:pt x="80" y="29"/>
                <a:pt x="79" y="43"/>
              </a:cubicBezTo>
              <a:cubicBezTo>
                <a:pt x="86" y="49"/>
                <a:pt x="98" y="43"/>
                <a:pt x="98" y="28"/>
              </a:cubicBezTo>
              <a:cubicBezTo>
                <a:pt x="98" y="18"/>
                <a:pt x="90" y="0"/>
                <a:pt x="63" y="0"/>
              </a:cubicBezTo>
              <a:cubicBezTo>
                <a:pt x="30" y="0"/>
                <a:pt x="0" y="34"/>
                <a:pt x="0" y="77"/>
              </a:cubicBezTo>
              <a:cubicBezTo>
                <a:pt x="0" y="120"/>
                <a:pt x="22" y="145"/>
                <a:pt x="52" y="145"/>
              </a:cubicBezTo>
              <a:cubicBezTo>
                <a:pt x="71" y="145"/>
                <a:pt x="89" y="134"/>
                <a:pt x="102" y="114"/>
              </a:cubicBezTo>
              <a:cubicBezTo>
                <a:pt x="105" y="131"/>
                <a:pt x="117" y="139"/>
                <a:pt x="126" y="139"/>
              </a:cubicBezTo>
              <a:cubicBezTo>
                <a:pt x="141" y="139"/>
                <a:pt x="150" y="129"/>
                <a:pt x="155" y="116"/>
              </a:cubicBezTo>
              <a:cubicBezTo>
                <a:pt x="159" y="129"/>
                <a:pt x="165" y="139"/>
                <a:pt x="177" y="139"/>
              </a:cubicBezTo>
              <a:cubicBezTo>
                <a:pt x="185" y="139"/>
                <a:pt x="191" y="135"/>
                <a:pt x="196" y="128"/>
              </a:cubicBezTo>
              <a:cubicBezTo>
                <a:pt x="194" y="173"/>
                <a:pt x="192" y="201"/>
                <a:pt x="218" y="196"/>
              </a:cubicBezTo>
              <a:cubicBezTo>
                <a:pt x="214" y="183"/>
                <a:pt x="213" y="160"/>
                <a:pt x="213" y="139"/>
              </a:cubicBezTo>
              <a:cubicBezTo>
                <a:pt x="213" y="82"/>
                <a:pt x="222" y="64"/>
                <a:pt x="234" y="64"/>
              </a:cubicBezTo>
              <a:cubicBezTo>
                <a:pt x="242" y="64"/>
                <a:pt x="245" y="75"/>
                <a:pt x="245" y="86"/>
              </a:cubicBezTo>
              <a:cubicBezTo>
                <a:pt x="245" y="92"/>
                <a:pt x="244" y="99"/>
                <a:pt x="243" y="106"/>
              </a:cubicBezTo>
              <a:cubicBezTo>
                <a:pt x="228" y="115"/>
                <a:pt x="217" y="122"/>
                <a:pt x="217" y="131"/>
              </a:cubicBezTo>
              <a:cubicBezTo>
                <a:pt x="217" y="138"/>
                <a:pt x="222" y="139"/>
                <a:pt x="227" y="139"/>
              </a:cubicBezTo>
              <a:cubicBezTo>
                <a:pt x="238" y="139"/>
                <a:pt x="251" y="128"/>
                <a:pt x="258" y="108"/>
              </a:cubicBezTo>
              <a:cubicBezTo>
                <a:pt x="265" y="104"/>
                <a:pt x="271" y="99"/>
                <a:pt x="278" y="93"/>
              </a:cubicBezTo>
              <a:cubicBezTo>
                <a:pt x="277" y="95"/>
                <a:pt x="277" y="97"/>
                <a:pt x="277" y="100"/>
              </a:cubicBezTo>
              <a:cubicBezTo>
                <a:pt x="277" y="120"/>
                <a:pt x="286" y="132"/>
                <a:pt x="300" y="132"/>
              </a:cubicBezTo>
              <a:cubicBezTo>
                <a:pt x="311" y="132"/>
                <a:pt x="320" y="124"/>
                <a:pt x="326" y="112"/>
              </a:cubicBezTo>
              <a:cubicBezTo>
                <a:pt x="326" y="119"/>
                <a:pt x="326" y="126"/>
                <a:pt x="326" y="131"/>
              </a:cubicBezTo>
              <a:cubicBezTo>
                <a:pt x="304" y="142"/>
                <a:pt x="279" y="152"/>
                <a:pt x="279" y="182"/>
              </a:cubicBezTo>
              <a:cubicBezTo>
                <a:pt x="279" y="197"/>
                <a:pt x="290" y="209"/>
                <a:pt x="304" y="209"/>
              </a:cubicBezTo>
              <a:cubicBezTo>
                <a:pt x="336" y="209"/>
                <a:pt x="343" y="175"/>
                <a:pt x="343" y="137"/>
              </a:cubicBezTo>
              <a:cubicBezTo>
                <a:pt x="353" y="132"/>
                <a:pt x="361" y="129"/>
                <a:pt x="370" y="125"/>
              </a:cubicBezTo>
              <a:cubicBezTo>
                <a:pt x="377" y="134"/>
                <a:pt x="387" y="139"/>
                <a:pt x="397" y="139"/>
              </a:cubicBezTo>
              <a:cubicBezTo>
                <a:pt x="415" y="139"/>
                <a:pt x="428" y="129"/>
                <a:pt x="439" y="110"/>
              </a:cubicBezTo>
              <a:cubicBezTo>
                <a:pt x="441" y="125"/>
                <a:pt x="444" y="139"/>
                <a:pt x="452" y="139"/>
              </a:cubicBezTo>
              <a:cubicBezTo>
                <a:pt x="466" y="139"/>
                <a:pt x="469" y="65"/>
                <a:pt x="479" y="65"/>
              </a:cubicBezTo>
              <a:cubicBezTo>
                <a:pt x="487" y="65"/>
                <a:pt x="481" y="145"/>
                <a:pt x="502" y="145"/>
              </a:cubicBezTo>
              <a:cubicBezTo>
                <a:pt x="520" y="145"/>
                <a:pt x="523" y="75"/>
                <a:pt x="532" y="75"/>
              </a:cubicBezTo>
              <a:cubicBezTo>
                <a:pt x="539" y="75"/>
                <a:pt x="539" y="139"/>
                <a:pt x="559" y="139"/>
              </a:cubicBezTo>
              <a:cubicBezTo>
                <a:pt x="568" y="139"/>
                <a:pt x="579" y="127"/>
                <a:pt x="584" y="103"/>
              </a:cubicBezTo>
              <a:cubicBezTo>
                <a:pt x="587" y="119"/>
                <a:pt x="595" y="139"/>
                <a:pt x="611" y="139"/>
              </a:cubicBezTo>
              <a:cubicBezTo>
                <a:pt x="620" y="139"/>
                <a:pt x="628" y="129"/>
                <a:pt x="635" y="117"/>
              </a:cubicBezTo>
              <a:cubicBezTo>
                <a:pt x="636" y="130"/>
                <a:pt x="640" y="139"/>
                <a:pt x="647" y="139"/>
              </a:cubicBezTo>
              <a:cubicBezTo>
                <a:pt x="665" y="139"/>
                <a:pt x="665" y="65"/>
                <a:pt x="679" y="65"/>
              </a:cubicBezTo>
              <a:cubicBezTo>
                <a:pt x="691" y="65"/>
                <a:pt x="687" y="139"/>
                <a:pt x="714" y="139"/>
              </a:cubicBezTo>
              <a:cubicBezTo>
                <a:pt x="727" y="139"/>
                <a:pt x="733" y="128"/>
                <a:pt x="737" y="114"/>
              </a:cubicBezTo>
              <a:cubicBezTo>
                <a:pt x="742" y="134"/>
                <a:pt x="750" y="139"/>
                <a:pt x="757" y="139"/>
              </a:cubicBezTo>
              <a:cubicBezTo>
                <a:pt x="761" y="139"/>
                <a:pt x="764" y="137"/>
                <a:pt x="768" y="132"/>
              </a:cubicBezTo>
              <a:cubicBezTo>
                <a:pt x="747" y="123"/>
                <a:pt x="749" y="90"/>
                <a:pt x="749" y="69"/>
              </a:cubicBezTo>
              <a:close/>
              <a:moveTo>
                <a:pt x="305" y="195"/>
              </a:moveTo>
              <a:cubicBezTo>
                <a:pt x="299" y="195"/>
                <a:pt x="296" y="189"/>
                <a:pt x="296" y="182"/>
              </a:cubicBezTo>
              <a:cubicBezTo>
                <a:pt x="296" y="163"/>
                <a:pt x="309" y="153"/>
                <a:pt x="326" y="144"/>
              </a:cubicBezTo>
              <a:cubicBezTo>
                <a:pt x="326" y="185"/>
                <a:pt x="316" y="195"/>
                <a:pt x="305" y="195"/>
              </a:cubicBezTo>
              <a:close/>
              <a:moveTo>
                <a:pt x="390" y="61"/>
              </a:moveTo>
              <a:cubicBezTo>
                <a:pt x="396" y="61"/>
                <a:pt x="400" y="67"/>
                <a:pt x="399" y="76"/>
              </a:cubicBezTo>
              <a:cubicBezTo>
                <a:pt x="399" y="85"/>
                <a:pt x="392" y="97"/>
                <a:pt x="379" y="106"/>
              </a:cubicBezTo>
              <a:cubicBezTo>
                <a:pt x="373" y="87"/>
                <a:pt x="377" y="61"/>
                <a:pt x="390" y="61"/>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895350</xdr:colOff>
      <xdr:row>1</xdr:row>
      <xdr:rowOff>20637</xdr:rowOff>
    </xdr:from>
    <xdr:to>
      <xdr:col>2</xdr:col>
      <xdr:colOff>928687</xdr:colOff>
      <xdr:row>1</xdr:row>
      <xdr:rowOff>57150</xdr:rowOff>
    </xdr:to>
    <xdr:sp macro="" textlink="">
      <xdr:nvSpPr>
        <xdr:cNvPr id="6" name="Freeform 47">
          <a:extLst>
            <a:ext uri="{FF2B5EF4-FFF2-40B4-BE49-F238E27FC236}">
              <a16:creationId xmlns:a16="http://schemas.microsoft.com/office/drawing/2014/main" id="{B7B0F516-264A-41DA-97B2-12B5DE98E1D3}"/>
            </a:ext>
          </a:extLst>
        </xdr:cNvPr>
        <xdr:cNvSpPr>
          <a:spLocks/>
        </xdr:cNvSpPr>
      </xdr:nvSpPr>
      <xdr:spPr bwMode="auto">
        <a:xfrm>
          <a:off x="1326243" y="213405"/>
          <a:ext cx="33337" cy="36513"/>
        </a:xfrm>
        <a:custGeom>
          <a:avLst/>
          <a:gdLst>
            <a:gd name="T0" fmla="*/ 11 w 21"/>
            <a:gd name="T1" fmla="*/ 23 h 23"/>
            <a:gd name="T2" fmla="*/ 21 w 21"/>
            <a:gd name="T3" fmla="*/ 11 h 23"/>
            <a:gd name="T4" fmla="*/ 11 w 21"/>
            <a:gd name="T5" fmla="*/ 0 h 23"/>
            <a:gd name="T6" fmla="*/ 0 w 21"/>
            <a:gd name="T7" fmla="*/ 12 h 23"/>
            <a:gd name="T8" fmla="*/ 11 w 21"/>
            <a:gd name="T9" fmla="*/ 23 h 23"/>
          </a:gdLst>
          <a:ahLst/>
          <a:cxnLst>
            <a:cxn ang="0">
              <a:pos x="T0" y="T1"/>
            </a:cxn>
            <a:cxn ang="0">
              <a:pos x="T2" y="T3"/>
            </a:cxn>
            <a:cxn ang="0">
              <a:pos x="T4" y="T5"/>
            </a:cxn>
            <a:cxn ang="0">
              <a:pos x="T6" y="T7"/>
            </a:cxn>
            <a:cxn ang="0">
              <a:pos x="T8" y="T9"/>
            </a:cxn>
          </a:cxnLst>
          <a:rect l="0" t="0" r="r" b="b"/>
          <a:pathLst>
            <a:path w="21" h="23">
              <a:moveTo>
                <a:pt x="11" y="23"/>
              </a:moveTo>
              <a:cubicBezTo>
                <a:pt x="17" y="22"/>
                <a:pt x="21" y="17"/>
                <a:pt x="21" y="11"/>
              </a:cubicBezTo>
              <a:cubicBezTo>
                <a:pt x="21" y="5"/>
                <a:pt x="17" y="0"/>
                <a:pt x="11" y="0"/>
              </a:cubicBezTo>
              <a:cubicBezTo>
                <a:pt x="5" y="0"/>
                <a:pt x="0" y="6"/>
                <a:pt x="0" y="12"/>
              </a:cubicBezTo>
              <a:cubicBezTo>
                <a:pt x="0" y="18"/>
                <a:pt x="5" y="23"/>
                <a:pt x="11" y="23"/>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1128712</xdr:colOff>
      <xdr:row>1</xdr:row>
      <xdr:rowOff>26987</xdr:rowOff>
    </xdr:from>
    <xdr:to>
      <xdr:col>2</xdr:col>
      <xdr:colOff>1160462</xdr:colOff>
      <xdr:row>1</xdr:row>
      <xdr:rowOff>61912</xdr:rowOff>
    </xdr:to>
    <xdr:sp macro="" textlink="">
      <xdr:nvSpPr>
        <xdr:cNvPr id="7" name="Freeform 48">
          <a:extLst>
            <a:ext uri="{FF2B5EF4-FFF2-40B4-BE49-F238E27FC236}">
              <a16:creationId xmlns:a16="http://schemas.microsoft.com/office/drawing/2014/main" id="{AB262203-A5C1-4F46-A143-22FCFD72A3AC}"/>
            </a:ext>
          </a:extLst>
        </xdr:cNvPr>
        <xdr:cNvSpPr>
          <a:spLocks/>
        </xdr:cNvSpPr>
      </xdr:nvSpPr>
      <xdr:spPr bwMode="auto">
        <a:xfrm>
          <a:off x="1559605" y="219755"/>
          <a:ext cx="31750" cy="34925"/>
        </a:xfrm>
        <a:custGeom>
          <a:avLst/>
          <a:gdLst>
            <a:gd name="T0" fmla="*/ 10 w 20"/>
            <a:gd name="T1" fmla="*/ 22 h 22"/>
            <a:gd name="T2" fmla="*/ 20 w 20"/>
            <a:gd name="T3" fmla="*/ 11 h 22"/>
            <a:gd name="T4" fmla="*/ 10 w 20"/>
            <a:gd name="T5" fmla="*/ 0 h 22"/>
            <a:gd name="T6" fmla="*/ 0 w 20"/>
            <a:gd name="T7" fmla="*/ 11 h 22"/>
            <a:gd name="T8" fmla="*/ 10 w 20"/>
            <a:gd name="T9" fmla="*/ 22 h 22"/>
          </a:gdLst>
          <a:ahLst/>
          <a:cxnLst>
            <a:cxn ang="0">
              <a:pos x="T0" y="T1"/>
            </a:cxn>
            <a:cxn ang="0">
              <a:pos x="T2" y="T3"/>
            </a:cxn>
            <a:cxn ang="0">
              <a:pos x="T4" y="T5"/>
            </a:cxn>
            <a:cxn ang="0">
              <a:pos x="T6" y="T7"/>
            </a:cxn>
            <a:cxn ang="0">
              <a:pos x="T8" y="T9"/>
            </a:cxn>
          </a:cxnLst>
          <a:rect l="0" t="0" r="r" b="b"/>
          <a:pathLst>
            <a:path w="20" h="22">
              <a:moveTo>
                <a:pt x="10" y="22"/>
              </a:moveTo>
              <a:cubicBezTo>
                <a:pt x="15" y="22"/>
                <a:pt x="20" y="17"/>
                <a:pt x="20" y="11"/>
              </a:cubicBezTo>
              <a:cubicBezTo>
                <a:pt x="20" y="5"/>
                <a:pt x="15" y="0"/>
                <a:pt x="10" y="0"/>
              </a:cubicBezTo>
              <a:cubicBezTo>
                <a:pt x="4" y="1"/>
                <a:pt x="0" y="6"/>
                <a:pt x="0" y="11"/>
              </a:cubicBezTo>
              <a:cubicBezTo>
                <a:pt x="0" y="17"/>
                <a:pt x="4" y="22"/>
                <a:pt x="10" y="22"/>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1203325</xdr:colOff>
      <xdr:row>1</xdr:row>
      <xdr:rowOff>0</xdr:rowOff>
    </xdr:from>
    <xdr:to>
      <xdr:col>2</xdr:col>
      <xdr:colOff>1460500</xdr:colOff>
      <xdr:row>1</xdr:row>
      <xdr:rowOff>219075</xdr:rowOff>
    </xdr:to>
    <xdr:sp macro="" textlink="">
      <xdr:nvSpPr>
        <xdr:cNvPr id="8" name="Freeform 49">
          <a:extLst>
            <a:ext uri="{FF2B5EF4-FFF2-40B4-BE49-F238E27FC236}">
              <a16:creationId xmlns:a16="http://schemas.microsoft.com/office/drawing/2014/main" id="{1C7410B9-68B7-404F-A983-7888DF6516F5}"/>
            </a:ext>
          </a:extLst>
        </xdr:cNvPr>
        <xdr:cNvSpPr>
          <a:spLocks/>
        </xdr:cNvSpPr>
      </xdr:nvSpPr>
      <xdr:spPr bwMode="auto">
        <a:xfrm>
          <a:off x="1634218" y="192768"/>
          <a:ext cx="257175" cy="219075"/>
        </a:xfrm>
        <a:custGeom>
          <a:avLst/>
          <a:gdLst>
            <a:gd name="T0" fmla="*/ 166 w 166"/>
            <a:gd name="T1" fmla="*/ 88 h 141"/>
            <a:gd name="T2" fmla="*/ 137 w 166"/>
            <a:gd name="T3" fmla="*/ 29 h 141"/>
            <a:gd name="T4" fmla="*/ 93 w 166"/>
            <a:gd name="T5" fmla="*/ 1 h 141"/>
            <a:gd name="T6" fmla="*/ 89 w 166"/>
            <a:gd name="T7" fmla="*/ 0 h 141"/>
            <a:gd name="T8" fmla="*/ 89 w 166"/>
            <a:gd name="T9" fmla="*/ 0 h 141"/>
            <a:gd name="T10" fmla="*/ 0 w 166"/>
            <a:gd name="T11" fmla="*/ 91 h 141"/>
            <a:gd name="T12" fmla="*/ 31 w 166"/>
            <a:gd name="T13" fmla="*/ 136 h 141"/>
            <a:gd name="T14" fmla="*/ 62 w 166"/>
            <a:gd name="T15" fmla="*/ 137 h 141"/>
            <a:gd name="T16" fmla="*/ 86 w 166"/>
            <a:gd name="T17" fmla="*/ 121 h 141"/>
            <a:gd name="T18" fmla="*/ 139 w 166"/>
            <a:gd name="T19" fmla="*/ 64 h 141"/>
            <a:gd name="T20" fmla="*/ 166 w 166"/>
            <a:gd name="T21" fmla="*/ 89 h 141"/>
            <a:gd name="T22" fmla="*/ 166 w 166"/>
            <a:gd name="T23" fmla="*/ 88 h 1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66" h="141">
              <a:moveTo>
                <a:pt x="166" y="88"/>
              </a:moveTo>
              <a:cubicBezTo>
                <a:pt x="166" y="64"/>
                <a:pt x="154" y="45"/>
                <a:pt x="137" y="29"/>
              </a:cubicBezTo>
              <a:cubicBezTo>
                <a:pt x="124" y="17"/>
                <a:pt x="109" y="8"/>
                <a:pt x="93" y="1"/>
              </a:cubicBezTo>
              <a:cubicBezTo>
                <a:pt x="92" y="1"/>
                <a:pt x="90" y="0"/>
                <a:pt x="89" y="0"/>
              </a:cubicBezTo>
              <a:cubicBezTo>
                <a:pt x="89" y="0"/>
                <a:pt x="89" y="0"/>
                <a:pt x="89" y="0"/>
              </a:cubicBezTo>
              <a:cubicBezTo>
                <a:pt x="69" y="24"/>
                <a:pt x="0" y="41"/>
                <a:pt x="0" y="91"/>
              </a:cubicBezTo>
              <a:cubicBezTo>
                <a:pt x="0" y="111"/>
                <a:pt x="13" y="129"/>
                <a:pt x="31" y="136"/>
              </a:cubicBezTo>
              <a:cubicBezTo>
                <a:pt x="41" y="140"/>
                <a:pt x="52" y="141"/>
                <a:pt x="62" y="137"/>
              </a:cubicBezTo>
              <a:cubicBezTo>
                <a:pt x="72" y="134"/>
                <a:pt x="79" y="128"/>
                <a:pt x="86" y="121"/>
              </a:cubicBezTo>
              <a:cubicBezTo>
                <a:pt x="106" y="99"/>
                <a:pt x="114" y="64"/>
                <a:pt x="139" y="64"/>
              </a:cubicBezTo>
              <a:cubicBezTo>
                <a:pt x="161" y="64"/>
                <a:pt x="165" y="80"/>
                <a:pt x="166" y="89"/>
              </a:cubicBezTo>
              <a:cubicBezTo>
                <a:pt x="166" y="89"/>
                <a:pt x="166" y="88"/>
                <a:pt x="166" y="88"/>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Sumithra" refreshedDate="46057.31004733796" createdVersion="8" refreshedVersion="8" minRefreshableVersion="3" recordCount="75" xr:uid="{C3A0518D-4B88-4401-A64E-B50DA211CC92}">
  <cacheSource type="worksheet">
    <worksheetSource ref="B1:C1048576" sheet="Progress sheet"/>
  </cacheSource>
  <cacheFields count="3">
    <cacheField name="Application Name" numFmtId="0">
      <sharedItems containsBlank="1" count="75">
        <s v="Pathway (DSM)"/>
        <s v="Mainframe Business Auto"/>
        <s v="Mainframe General Liability (GLS)"/>
        <s v="Mainframe Commercial Property"/>
        <s v="Mainframe Package Control"/>
        <s v="Mainframe Farm"/>
        <s v="Mainframe Business Owners (SBO)"/>
        <s v="Mainframe Policy Entry"/>
        <s v="Mainframe Workers Comp"/>
        <s v="Allied Endorsements"/>
        <s v="Alpha Search"/>
        <s v="Error Message"/>
        <s v="Policy Reload"/>
        <s v="Policy Expirations"/>
        <s v="Commercial Umbrella"/>
        <s v="CCRF Agent Center"/>
        <s v="Commercial Mainframe COI"/>
        <s v="Commercial Renewal Reporting DB"/>
        <s v="Commercial Underwriting DB"/>
        <s v="HV-Accounts Receivable"/>
        <s v="HV-Agency Bill Account Current"/>
        <s v="HV-Agency Systems"/>
        <s v="HV-CCMS &amp; Score"/>
        <s v="HV-Direct Bill Commission"/>
        <s v="HV-Legacy Billing Systems"/>
        <s v="HV-Personal Lines Legacy"/>
        <s v="HV-Commercial Lines Legacy"/>
        <s v="HV-Commercial Lines DMV"/>
        <s v="HV-Midstream Stat Creation"/>
        <s v="HV-AccessWeb - UWRulesEngineWeb App"/>
        <s v="HV-Audit Upload Manager"/>
        <s v="HV-Renewal Automation"/>
        <s v="HV-Underwriting Rules Engine (URE)"/>
        <s v="HV-ACE - Premium Audit"/>
        <s v="HV-Clarify"/>
        <s v="HV-COGNOS"/>
        <s v="HV-ImageRight"/>
        <s v="HV-Informatica"/>
        <s v="HV-Rules Maintenance Application (RMA)"/>
        <s v="HV-UWWB - Underwriter WorkBench"/>
        <s v="HV-VOIP Services"/>
        <s v="HV-webMethods"/>
        <s v="HV-Agent Portal"/>
        <s v="HV-AQS"/>
        <s v="HV-Starteam"/>
        <s v="HV-Predictive Modeling"/>
        <s v="HV-AIS"/>
        <s v="HV-Harleysville Enterprise Web Services (HEWS)"/>
        <s v="HV-Question Answer Service"/>
        <s v="HV-Melissa (address check)"/>
        <s v="HV-Active PDF"/>
        <s v="HV-UW Assignment"/>
        <s v="HV-Expiration"/>
        <s v="HV-AQS Batch Print"/>
        <s v="HV-Agency Licensing"/>
        <s v="HV-ISO PPC"/>
        <s v="HV-Bill Matrix"/>
        <s v="HV-Account Proposal"/>
        <s v="HV-AuditWin Plus"/>
        <s v="HV-ACCESS Collections"/>
        <s v="HV-PNC Bank Feed"/>
        <s v="HV-AQS User SecurityLoad"/>
        <s v="HV-AQS - Doc Utility"/>
        <s v="HV - eForms Generation App"/>
        <s v="HV-Hazard Grade Matrix (HGM)"/>
        <s v="HV-CL Insured Account search tool"/>
        <s v="HV-U279 Processing Form"/>
        <s v="HV-PowerShell-BuildDeployment-Scripts"/>
        <s v="HV-Core Integration Svc"/>
        <s v="HV-MVR Services"/>
        <s v="HV-Core Logic Svc"/>
        <s v="HV-Billing Svc"/>
        <s v="HV-CLManuscripts"/>
        <s v="Commercial Auto"/>
        <m/>
      </sharedItems>
    </cacheField>
    <cacheField name="Progress Percentage" numFmtId="0">
      <sharedItems containsBlank="1"/>
    </cacheField>
    <cacheField name="Status" numFmtId="0">
      <sharedItems containsBlank="1" count="2">
        <s v="In progres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23.68%"/>
    <x v="0"/>
  </r>
  <r>
    <x v="1"/>
    <s v="48.68%"/>
    <x v="0"/>
  </r>
  <r>
    <x v="2"/>
    <s v="47.37%"/>
    <x v="0"/>
  </r>
  <r>
    <x v="3"/>
    <s v="35.53%"/>
    <x v="0"/>
  </r>
  <r>
    <x v="4"/>
    <s v="35.53%"/>
    <x v="0"/>
  </r>
  <r>
    <x v="5"/>
    <s v="35.53%"/>
    <x v="0"/>
  </r>
  <r>
    <x v="6"/>
    <s v="43.42%"/>
    <x v="0"/>
  </r>
  <r>
    <x v="7"/>
    <s v="36.84%"/>
    <x v="0"/>
  </r>
  <r>
    <x v="8"/>
    <s v="35.53%"/>
    <x v="0"/>
  </r>
  <r>
    <x v="9"/>
    <s v="32.89%"/>
    <x v="0"/>
  </r>
  <r>
    <x v="10"/>
    <s v="28.95%"/>
    <x v="0"/>
  </r>
  <r>
    <x v="11"/>
    <s v="23.68%"/>
    <x v="0"/>
  </r>
  <r>
    <x v="12"/>
    <s v="28.95%"/>
    <x v="0"/>
  </r>
  <r>
    <x v="13"/>
    <s v="27.63%"/>
    <x v="0"/>
  </r>
  <r>
    <x v="14"/>
    <s v="77.63%"/>
    <x v="0"/>
  </r>
  <r>
    <x v="15"/>
    <s v="27.63%"/>
    <x v="0"/>
  </r>
  <r>
    <x v="16"/>
    <s v="28.95%"/>
    <x v="0"/>
  </r>
  <r>
    <x v="17"/>
    <s v="26.32%"/>
    <x v="0"/>
  </r>
  <r>
    <x v="18"/>
    <s v="27.63%"/>
    <x v="0"/>
  </r>
  <r>
    <x v="19"/>
    <s v="35.53%"/>
    <x v="0"/>
  </r>
  <r>
    <x v="20"/>
    <s v="26.32%"/>
    <x v="0"/>
  </r>
  <r>
    <x v="21"/>
    <s v="32.89%"/>
    <x v="0"/>
  </r>
  <r>
    <x v="22"/>
    <s v="32.89%"/>
    <x v="0"/>
  </r>
  <r>
    <x v="23"/>
    <s v="31.58%"/>
    <x v="0"/>
  </r>
  <r>
    <x v="24"/>
    <s v="36.84%"/>
    <x v="0"/>
  </r>
  <r>
    <x v="25"/>
    <s v="34.21%"/>
    <x v="0"/>
  </r>
  <r>
    <x v="26"/>
    <s v="35.53%"/>
    <x v="0"/>
  </r>
  <r>
    <x v="27"/>
    <s v="30.26%"/>
    <x v="0"/>
  </r>
  <r>
    <x v="28"/>
    <s v="22.37%"/>
    <x v="0"/>
  </r>
  <r>
    <x v="29"/>
    <s v="38.16%"/>
    <x v="0"/>
  </r>
  <r>
    <x v="30"/>
    <s v="30.26%"/>
    <x v="0"/>
  </r>
  <r>
    <x v="31"/>
    <s v="36.84%"/>
    <x v="0"/>
  </r>
  <r>
    <x v="32"/>
    <s v="36.84%"/>
    <x v="0"/>
  </r>
  <r>
    <x v="33"/>
    <s v="38.16%"/>
    <x v="0"/>
  </r>
  <r>
    <x v="34"/>
    <s v="36.84%"/>
    <x v="0"/>
  </r>
  <r>
    <x v="35"/>
    <s v="34.21%"/>
    <x v="0"/>
  </r>
  <r>
    <x v="36"/>
    <s v="32.89%"/>
    <x v="0"/>
  </r>
  <r>
    <x v="37"/>
    <s v="31.58%"/>
    <x v="0"/>
  </r>
  <r>
    <x v="38"/>
    <s v="36.84%"/>
    <x v="0"/>
  </r>
  <r>
    <x v="39"/>
    <s v="35.53%"/>
    <x v="0"/>
  </r>
  <r>
    <x v="40"/>
    <s v="30.26%"/>
    <x v="0"/>
  </r>
  <r>
    <x v="41"/>
    <s v="30.26%"/>
    <x v="0"/>
  </r>
  <r>
    <x v="42"/>
    <s v="36.84%"/>
    <x v="0"/>
  </r>
  <r>
    <x v="43"/>
    <s v="35.53%"/>
    <x v="0"/>
  </r>
  <r>
    <x v="44"/>
    <s v="30.26%"/>
    <x v="0"/>
  </r>
  <r>
    <x v="45"/>
    <s v="35.53%"/>
    <x v="0"/>
  </r>
  <r>
    <x v="46"/>
    <s v="32.89%"/>
    <x v="0"/>
  </r>
  <r>
    <x v="47"/>
    <s v="27.63%"/>
    <x v="0"/>
  </r>
  <r>
    <x v="48"/>
    <s v="36.84%"/>
    <x v="0"/>
  </r>
  <r>
    <x v="49"/>
    <s v="34.21%"/>
    <x v="0"/>
  </r>
  <r>
    <x v="50"/>
    <s v="34.21%"/>
    <x v="0"/>
  </r>
  <r>
    <x v="51"/>
    <s v="30.26%"/>
    <x v="0"/>
  </r>
  <r>
    <x v="52"/>
    <s v="32.89%"/>
    <x v="0"/>
  </r>
  <r>
    <x v="53"/>
    <s v="34.21%"/>
    <x v="0"/>
  </r>
  <r>
    <x v="54"/>
    <s v="30.26%"/>
    <x v="0"/>
  </r>
  <r>
    <x v="55"/>
    <s v="34.21%"/>
    <x v="0"/>
  </r>
  <r>
    <x v="56"/>
    <s v="28.95%"/>
    <x v="0"/>
  </r>
  <r>
    <x v="57"/>
    <s v="31.58%"/>
    <x v="0"/>
  </r>
  <r>
    <x v="58"/>
    <s v="34.21%"/>
    <x v="0"/>
  </r>
  <r>
    <x v="59"/>
    <s v="32.89%"/>
    <x v="0"/>
  </r>
  <r>
    <x v="60"/>
    <s v="32.89%"/>
    <x v="0"/>
  </r>
  <r>
    <x v="61"/>
    <s v="31.58%"/>
    <x v="0"/>
  </r>
  <r>
    <x v="62"/>
    <s v="31.58%"/>
    <x v="0"/>
  </r>
  <r>
    <x v="63"/>
    <s v="38.16%"/>
    <x v="0"/>
  </r>
  <r>
    <x v="64"/>
    <s v="38.16%"/>
    <x v="0"/>
  </r>
  <r>
    <x v="65"/>
    <s v="28.95%"/>
    <x v="0"/>
  </r>
  <r>
    <x v="66"/>
    <s v="31.58%"/>
    <x v="0"/>
  </r>
  <r>
    <x v="67"/>
    <s v="30.26%"/>
    <x v="0"/>
  </r>
  <r>
    <x v="68"/>
    <s v="26.32%"/>
    <x v="0"/>
  </r>
  <r>
    <x v="69"/>
    <s v="44.74%"/>
    <x v="0"/>
  </r>
  <r>
    <x v="70"/>
    <s v="27.63%"/>
    <x v="0"/>
  </r>
  <r>
    <x v="71"/>
    <s v="30.26%"/>
    <x v="0"/>
  </r>
  <r>
    <x v="72"/>
    <s v="31.58%"/>
    <x v="0"/>
  </r>
  <r>
    <x v="73"/>
    <s v="42.11%"/>
    <x v="0"/>
  </r>
  <r>
    <x v="7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44CE8-BC5A-4C1F-9839-DE478A9BAF66}" name="PivotTable1" cacheId="33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3">
    <pivotField dataField="1" showAll="0">
      <items count="76">
        <item x="9"/>
        <item x="10"/>
        <item x="15"/>
        <item x="73"/>
        <item x="16"/>
        <item x="17"/>
        <item x="14"/>
        <item x="18"/>
        <item x="11"/>
        <item x="63"/>
        <item x="59"/>
        <item x="29"/>
        <item x="57"/>
        <item x="19"/>
        <item x="33"/>
        <item x="50"/>
        <item x="20"/>
        <item x="54"/>
        <item x="21"/>
        <item x="42"/>
        <item x="46"/>
        <item x="43"/>
        <item x="62"/>
        <item x="53"/>
        <item x="61"/>
        <item x="30"/>
        <item x="58"/>
        <item x="56"/>
        <item x="71"/>
        <item x="22"/>
        <item x="65"/>
        <item x="34"/>
        <item x="72"/>
        <item x="35"/>
        <item x="27"/>
        <item x="26"/>
        <item x="68"/>
        <item x="70"/>
        <item x="23"/>
        <item x="52"/>
        <item x="47"/>
        <item x="64"/>
        <item x="36"/>
        <item x="37"/>
        <item x="55"/>
        <item x="24"/>
        <item x="49"/>
        <item x="28"/>
        <item x="69"/>
        <item x="25"/>
        <item x="60"/>
        <item x="67"/>
        <item x="45"/>
        <item x="48"/>
        <item x="31"/>
        <item x="38"/>
        <item x="44"/>
        <item x="66"/>
        <item x="32"/>
        <item x="51"/>
        <item x="39"/>
        <item x="40"/>
        <item x="41"/>
        <item x="1"/>
        <item x="6"/>
        <item x="3"/>
        <item x="5"/>
        <item x="2"/>
        <item x="4"/>
        <item x="7"/>
        <item x="8"/>
        <item x="0"/>
        <item x="13"/>
        <item x="12"/>
        <item x="74"/>
        <item t="default"/>
      </items>
    </pivotField>
    <pivotField showAll="0"/>
    <pivotField axis="axisRow" showAll="0">
      <items count="3">
        <item x="0"/>
        <item x="1"/>
        <item t="default"/>
      </items>
    </pivotField>
  </pivotFields>
  <rowFields count="1">
    <field x="2"/>
  </rowFields>
  <rowItems count="3">
    <i>
      <x/>
    </i>
    <i>
      <x v="1"/>
    </i>
    <i t="grand">
      <x/>
    </i>
  </rowItems>
  <colItems count="1">
    <i/>
  </colItems>
  <dataFields count="1">
    <dataField name="Count of Application Name" fld="0" subtotal="count" baseField="0" baseItem="0"/>
  </dataFields>
  <formats count="6">
    <format dxfId="4">
      <pivotArea type="all" dataOnly="0" outline="0" fieldPosition="0"/>
    </format>
    <format dxfId="5">
      <pivotArea outline="0" collapsedLevelsAreSubtotals="1" fieldPosition="0"/>
    </format>
    <format dxfId="6">
      <pivotArea field="2" type="button" dataOnly="0" labelOnly="1" outline="0" axis="axisRow" fieldPosition="0"/>
    </format>
    <format dxfId="7">
      <pivotArea dataOnly="0" labelOnly="1" fieldPosition="0">
        <references count="1">
          <reference field="2" count="0"/>
        </references>
      </pivotArea>
    </format>
    <format dxfId="8">
      <pivotArea dataOnly="0" labelOnly="1" grandRow="1" outline="0"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1B855-F8EB-4798-BFFA-665AC0366C87}" name="Table1" displayName="Table1" ref="A1:O109" totalsRowShown="0" headerRowDxfId="3" headerRowBorderDxfId="1" tableBorderDxfId="2">
  <autoFilter ref="A1:O109" xr:uid="{9711B855-F8EB-4798-BFFA-665AC0366C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61E0FF5-EBF0-42E8-9F1B-C0239780A271}" name="App Id"/>
    <tableColumn id="2" xr3:uid="{DCCC1364-CA40-42F6-9B25-7004DA4153E1}" name="Application Name"/>
    <tableColumn id="3" xr3:uid="{86F4A146-C705-4FD8-99C8-14D7CAE0D600}" name="Decom Target Complete" dataDxfId="0"/>
    <tableColumn id="6" xr3:uid="{D8F20914-6384-4655-A246-DAE8A56E70BA}" name="Application Description"/>
    <tableColumn id="7" xr3:uid="{F5A0E5F7-8152-47FB-A546-88A3F2897B71}" name="Application Category"/>
    <tableColumn id="8" xr3:uid="{A9457DC5-4089-4F31-B2A0-762945FF13C8}" name="Database or Data Store"/>
    <tableColumn id="9" xr3:uid="{B0CF0338-1FFB-48F6-B541-E00E2A385C83}" name="System of Record"/>
    <tableColumn id="10" xr3:uid="{7E03611C-E379-425D-89E3-C50159CB1E30}" name="Data Owner (System)"/>
    <tableColumn id="11" xr3:uid="{D1998A34-78E6-4A95-8F9B-8F7066672425}" name="Access - API/Service"/>
    <tableColumn id="12" xr3:uid="{5AE481EA-D564-4422-A0FC-945D81321A60}" name="Access - UI"/>
    <tableColumn id="13" xr3:uid="{181D5219-FEBF-4343-82A3-4A443899E3AD}" name="Access - Batch/Bulk"/>
    <tableColumn id="14" xr3:uid="{91ED511A-8D61-4452-9773-EB40F43F4016}" name="Application Suite Dependency"/>
    <tableColumn id="15" xr3:uid="{A6F85E2F-4D59-46CA-B47E-A052DC779DAC}" name="Dependencies (App Level)"/>
    <tableColumn id="16" xr3:uid="{BCAF3D62-4AF1-46AD-97AA-2E032390B4E4}" name="Infrastructure"/>
    <tableColumn id="17" xr3:uid="{2832A154-4973-4628-947B-61C82E256391}" name="Legacy Suit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planner.cloud.microsoft/webui/v1/plan/1k8FS6ivX0-5Af2zg0vx_2QAHmhP/view/board/task/QtEKJWXvskSOPIXcSprlqWQAIYzT?tid=22140e4c-d390-45c2-b297-a26c516dc461" TargetMode="External"/><Relationship Id="rId7" Type="http://schemas.openxmlformats.org/officeDocument/2006/relationships/hyperlink" Target="https://capgemini.sharepoint.com/:x:/g/personal/m_martin_nationwide_com/EUzOCC-wP4tFjv4n5hCDtkQBX5qBzYk3mh2PEtM7kDvXLA" TargetMode="External"/><Relationship Id="rId2" Type="http://schemas.openxmlformats.org/officeDocument/2006/relationships/hyperlink" Target="https://planner.cloud.microsoft/webui/v1/plan/1k8FS6ivX0-5Af2zg0vx_2QAHmhP/view/board/task/FvrNUqXWwUOZde0IjrVmVmQAMZHp?tid=22140e4c-d390-45c2-b297-a26c516dc461" TargetMode="External"/><Relationship Id="rId1" Type="http://schemas.openxmlformats.org/officeDocument/2006/relationships/hyperlink" Target="https://planner.cloud.microsoft/webui/v1/plan/1k8FS6ivX0-5Af2zg0vx_2QAHmhP/view/board/task/BAIf77HArUCO_77BpT6TBGQAClD7?tid=22140e4c-d390-45c2-b297-a26c516dc461" TargetMode="External"/><Relationship Id="rId6" Type="http://schemas.openxmlformats.org/officeDocument/2006/relationships/hyperlink" Target="../../../../../:w:/r/sites/Decommission/Shared%20Documents/General/Application%20Decommissioning/Applications/5427%20HV-COGNOS/Plan/HV_COGNOS_Plan_Guide.docx?d=wb8454fcb641745628c8ef68fc66b43b5&amp;csf=1&amp;web=1&amp;e=gRUoVw" TargetMode="External"/><Relationship Id="rId5" Type="http://schemas.openxmlformats.org/officeDocument/2006/relationships/hyperlink" Target="https://planner.cloud.microsoft/webui/v1/plan/1k8FS6ivX0-5Af2zg0vx_2QAHmhP/view/board/task/mckD7PV3AUGVepe7VB8VpGQAI58x?tid=22140e4c-d390-45c2-b297-a26c516dc461" TargetMode="External"/><Relationship Id="rId4" Type="http://schemas.openxmlformats.org/officeDocument/2006/relationships/hyperlink" Target="https://planner.cloud.microsoft/webui/v1/plan/1k8FS6ivX0-5Af2zg0vx_2QAHmhP/view/board/task/h6E2B58ckkqafBK2VR3N22QACD-u?tid=22140e4c-d390-45c2-b297-a26c516dc461" TargetMode="Externa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421F-7072-43DC-B1C5-6F313EE59E11}">
  <dimension ref="A1:BQ85"/>
  <sheetViews>
    <sheetView topLeftCell="AM1" zoomScale="91" zoomScaleNormal="70" workbookViewId="0">
      <selection activeCell="AY1" sqref="AY1:BA1"/>
    </sheetView>
  </sheetViews>
  <sheetFormatPr defaultColWidth="29.5703125" defaultRowHeight="18" customHeight="1"/>
  <cols>
    <col min="1" max="1" width="29.5703125" style="33"/>
    <col min="2" max="2" width="22.42578125" style="120" customWidth="1"/>
    <col min="3" max="3" width="22.42578125" style="120" hidden="1" customWidth="1"/>
    <col min="4" max="6" width="29.5703125" style="33" customWidth="1"/>
    <col min="7" max="20" width="29.5703125" style="33"/>
    <col min="21" max="21" width="37.42578125" style="33" customWidth="1"/>
    <col min="22" max="62" width="29.5703125" style="33"/>
    <col min="63" max="64" width="29.5703125" style="15"/>
    <col min="65" max="16384" width="29.5703125" style="33"/>
  </cols>
  <sheetData>
    <row r="1" spans="1:69" ht="18" customHeight="1">
      <c r="A1" s="112" t="s">
        <v>0</v>
      </c>
      <c r="B1" s="356" t="s">
        <v>1</v>
      </c>
      <c r="C1" s="357"/>
      <c r="D1" s="357"/>
      <c r="E1" s="357"/>
      <c r="F1" s="357"/>
      <c r="G1" s="357"/>
      <c r="H1" s="357"/>
      <c r="I1" s="357"/>
      <c r="J1" s="357"/>
      <c r="K1" s="357"/>
      <c r="L1" s="357"/>
      <c r="M1" s="357"/>
      <c r="N1" s="357"/>
      <c r="O1" s="357"/>
      <c r="P1" s="357"/>
      <c r="Q1" s="357"/>
      <c r="R1" s="357"/>
      <c r="S1" s="357"/>
      <c r="T1" s="357"/>
      <c r="U1" s="357"/>
      <c r="V1" s="357"/>
      <c r="W1" s="358"/>
      <c r="X1" s="359" t="s">
        <v>2</v>
      </c>
      <c r="Y1" s="360"/>
      <c r="Z1" s="360"/>
      <c r="AA1" s="360"/>
      <c r="AB1" s="360"/>
      <c r="AC1" s="361"/>
      <c r="AD1" s="362" t="s">
        <v>3</v>
      </c>
      <c r="AE1" s="363"/>
      <c r="AF1" s="363"/>
      <c r="AG1" s="363"/>
      <c r="AH1" s="363"/>
      <c r="AI1" s="363"/>
      <c r="AJ1" s="363"/>
      <c r="AK1" s="363"/>
      <c r="AL1" s="363"/>
      <c r="AM1" s="363"/>
      <c r="AN1" s="364"/>
      <c r="AO1" s="365" t="s">
        <v>4</v>
      </c>
      <c r="AP1" s="366"/>
      <c r="AQ1" s="366"/>
      <c r="AR1" s="366"/>
      <c r="AS1" s="366"/>
      <c r="AT1" s="366"/>
      <c r="AU1" s="366"/>
      <c r="AV1" s="366"/>
      <c r="AW1" s="366"/>
      <c r="AX1" s="367"/>
      <c r="AY1" s="368" t="s">
        <v>5</v>
      </c>
      <c r="AZ1" s="369"/>
      <c r="BA1" s="370"/>
      <c r="BB1" s="371" t="s">
        <v>6</v>
      </c>
      <c r="BC1" s="372"/>
      <c r="BD1" s="372"/>
      <c r="BE1" s="372"/>
      <c r="BF1" s="372"/>
      <c r="BG1" s="372"/>
      <c r="BH1" s="372"/>
      <c r="BI1" s="373"/>
      <c r="BJ1" s="350" t="s">
        <v>7</v>
      </c>
      <c r="BK1" s="351"/>
      <c r="BL1" s="351"/>
      <c r="BM1" s="352"/>
      <c r="BN1" s="353" t="s">
        <v>8</v>
      </c>
      <c r="BO1" s="354"/>
      <c r="BP1" s="355"/>
      <c r="BQ1" s="113" t="s">
        <v>9</v>
      </c>
    </row>
    <row r="2" spans="1:69" ht="51.6" customHeight="1">
      <c r="A2" s="31" t="s">
        <v>10</v>
      </c>
      <c r="B2" s="31" t="s">
        <v>11</v>
      </c>
      <c r="C2" s="31" t="s">
        <v>12</v>
      </c>
      <c r="D2" s="30" t="s">
        <v>13</v>
      </c>
      <c r="E2" s="30" t="s">
        <v>14</v>
      </c>
      <c r="F2" s="42" t="s">
        <v>15</v>
      </c>
      <c r="G2" s="30" t="s">
        <v>16</v>
      </c>
      <c r="H2" s="121" t="s">
        <v>17</v>
      </c>
      <c r="I2" s="30" t="s">
        <v>18</v>
      </c>
      <c r="J2" s="122" t="s">
        <v>19</v>
      </c>
      <c r="K2" s="28" t="s">
        <v>20</v>
      </c>
      <c r="L2" s="30" t="s">
        <v>21</v>
      </c>
      <c r="M2" s="30" t="s">
        <v>22</v>
      </c>
      <c r="N2" s="42" t="s">
        <v>23</v>
      </c>
      <c r="O2" s="28" t="s">
        <v>24</v>
      </c>
      <c r="P2" s="28" t="s">
        <v>25</v>
      </c>
      <c r="Q2" s="43" t="s">
        <v>26</v>
      </c>
      <c r="R2" s="28" t="s">
        <v>27</v>
      </c>
      <c r="S2" s="28" t="s">
        <v>28</v>
      </c>
      <c r="T2" s="41" t="s">
        <v>29</v>
      </c>
      <c r="U2" s="41" t="s">
        <v>30</v>
      </c>
      <c r="V2" s="30" t="s">
        <v>31</v>
      </c>
      <c r="W2" s="30" t="s">
        <v>32</v>
      </c>
      <c r="X2" s="28" t="s">
        <v>33</v>
      </c>
      <c r="Y2" s="28" t="s">
        <v>34</v>
      </c>
      <c r="Z2" s="28" t="s">
        <v>35</v>
      </c>
      <c r="AA2" s="28" t="s">
        <v>36</v>
      </c>
      <c r="AB2" s="28" t="s">
        <v>37</v>
      </c>
      <c r="AC2" s="28" t="s">
        <v>38</v>
      </c>
      <c r="AD2" s="28" t="s">
        <v>39</v>
      </c>
      <c r="AE2" s="32" t="s">
        <v>40</v>
      </c>
      <c r="AF2" s="29" t="s">
        <v>41</v>
      </c>
      <c r="AG2" s="28" t="s">
        <v>42</v>
      </c>
      <c r="AH2" s="28" t="s">
        <v>43</v>
      </c>
      <c r="AI2" s="28" t="s">
        <v>44</v>
      </c>
      <c r="AJ2" s="28" t="s">
        <v>45</v>
      </c>
      <c r="AK2" s="28" t="s">
        <v>46</v>
      </c>
      <c r="AL2" s="28" t="s">
        <v>47</v>
      </c>
      <c r="AM2" s="28" t="s">
        <v>48</v>
      </c>
      <c r="AN2" s="28" t="s">
        <v>49</v>
      </c>
      <c r="AO2" s="28" t="s">
        <v>50</v>
      </c>
      <c r="AP2" s="28" t="s">
        <v>51</v>
      </c>
      <c r="AQ2" s="43" t="s">
        <v>52</v>
      </c>
      <c r="AR2" s="43" t="s">
        <v>53</v>
      </c>
      <c r="AS2" s="43" t="s">
        <v>54</v>
      </c>
      <c r="AT2" s="28" t="s">
        <v>55</v>
      </c>
      <c r="AU2" s="28" t="s">
        <v>56</v>
      </c>
      <c r="AV2" s="28" t="s">
        <v>57</v>
      </c>
      <c r="AW2" s="28" t="s">
        <v>58</v>
      </c>
      <c r="AX2" s="28" t="s">
        <v>59</v>
      </c>
      <c r="AY2" s="28" t="s">
        <v>60</v>
      </c>
      <c r="AZ2" s="28" t="s">
        <v>61</v>
      </c>
      <c r="BA2" s="28" t="s">
        <v>62</v>
      </c>
      <c r="BB2" s="28" t="s">
        <v>63</v>
      </c>
      <c r="BC2" s="28" t="s">
        <v>64</v>
      </c>
      <c r="BD2" s="28" t="s">
        <v>65</v>
      </c>
      <c r="BE2" s="28" t="s">
        <v>66</v>
      </c>
      <c r="BF2" s="28" t="s">
        <v>67</v>
      </c>
      <c r="BG2" s="28" t="s">
        <v>68</v>
      </c>
      <c r="BH2" s="28" t="s">
        <v>69</v>
      </c>
      <c r="BI2" s="28" t="s">
        <v>70</v>
      </c>
      <c r="BJ2" s="28" t="s">
        <v>71</v>
      </c>
      <c r="BK2" s="28" t="s">
        <v>72</v>
      </c>
      <c r="BL2" s="28" t="s">
        <v>73</v>
      </c>
      <c r="BM2" s="28" t="s">
        <v>74</v>
      </c>
      <c r="BN2" s="28" t="s">
        <v>75</v>
      </c>
      <c r="BO2" s="28" t="s">
        <v>76</v>
      </c>
      <c r="BP2" s="28" t="s">
        <v>77</v>
      </c>
      <c r="BQ2" s="42" t="s">
        <v>78</v>
      </c>
    </row>
    <row r="3" spans="1:69" ht="18" customHeight="1">
      <c r="A3" s="114" t="s">
        <v>79</v>
      </c>
      <c r="B3" s="38" t="s">
        <v>80</v>
      </c>
      <c r="C3" s="38"/>
      <c r="D3" s="39" t="s">
        <v>81</v>
      </c>
      <c r="E3" s="39" t="s">
        <v>82</v>
      </c>
      <c r="F3" s="39" t="s">
        <v>83</v>
      </c>
      <c r="G3" s="39" t="s">
        <v>84</v>
      </c>
      <c r="H3" s="39" t="s">
        <v>85</v>
      </c>
      <c r="I3" s="39" t="s">
        <v>86</v>
      </c>
      <c r="J3" s="39" t="s">
        <v>87</v>
      </c>
      <c r="K3" s="40" t="s">
        <v>88</v>
      </c>
      <c r="L3" s="39" t="s">
        <v>89</v>
      </c>
      <c r="M3" s="39" t="s">
        <v>90</v>
      </c>
      <c r="N3" s="40" t="s">
        <v>91</v>
      </c>
      <c r="O3" s="40" t="s">
        <v>92</v>
      </c>
      <c r="P3" s="40" t="s">
        <v>93</v>
      </c>
      <c r="Q3" s="40" t="s">
        <v>94</v>
      </c>
      <c r="R3" s="39" t="s">
        <v>95</v>
      </c>
      <c r="S3" s="39" t="s">
        <v>96</v>
      </c>
      <c r="T3" s="40" t="s">
        <v>97</v>
      </c>
      <c r="U3" s="40"/>
      <c r="V3" s="39" t="s">
        <v>98</v>
      </c>
      <c r="W3" s="39" t="s">
        <v>99</v>
      </c>
      <c r="X3" s="40" t="s">
        <v>100</v>
      </c>
      <c r="Y3" s="39" t="s">
        <v>101</v>
      </c>
      <c r="Z3" s="39" t="s">
        <v>102</v>
      </c>
      <c r="AA3" s="40" t="s">
        <v>103</v>
      </c>
      <c r="AB3" s="39" t="s">
        <v>104</v>
      </c>
      <c r="AC3" s="39" t="s">
        <v>105</v>
      </c>
      <c r="AD3" s="40" t="s">
        <v>106</v>
      </c>
      <c r="AE3" s="40" t="s">
        <v>107</v>
      </c>
      <c r="AF3" s="40" t="s">
        <v>108</v>
      </c>
      <c r="AG3" s="40" t="s">
        <v>108</v>
      </c>
      <c r="AH3" s="40" t="s">
        <v>109</v>
      </c>
      <c r="AI3" s="40" t="s">
        <v>110</v>
      </c>
      <c r="AJ3" s="40" t="s">
        <v>111</v>
      </c>
      <c r="AK3" s="40" t="s">
        <v>112</v>
      </c>
      <c r="AL3" s="40" t="s">
        <v>110</v>
      </c>
      <c r="AM3" s="40" t="s">
        <v>111</v>
      </c>
      <c r="AN3" s="40" t="s">
        <v>93</v>
      </c>
      <c r="AO3" s="39" t="s">
        <v>113</v>
      </c>
      <c r="AP3" s="40" t="s">
        <v>114</v>
      </c>
      <c r="AQ3" s="40" t="s">
        <v>115</v>
      </c>
      <c r="AR3" s="40" t="s">
        <v>93</v>
      </c>
      <c r="AS3" s="40" t="s">
        <v>116</v>
      </c>
      <c r="AT3" s="39" t="s">
        <v>117</v>
      </c>
      <c r="AU3" s="40" t="s">
        <v>118</v>
      </c>
      <c r="AV3" s="39" t="s">
        <v>119</v>
      </c>
      <c r="AW3" s="40" t="s">
        <v>93</v>
      </c>
      <c r="AX3" s="40" t="s">
        <v>93</v>
      </c>
      <c r="AY3" s="40" t="s">
        <v>120</v>
      </c>
      <c r="AZ3" s="40" t="s">
        <v>93</v>
      </c>
      <c r="BA3" s="40" t="s">
        <v>121</v>
      </c>
      <c r="BB3" s="40" t="s">
        <v>122</v>
      </c>
      <c r="BC3" s="40" t="s">
        <v>122</v>
      </c>
      <c r="BD3" s="40" t="s">
        <v>93</v>
      </c>
      <c r="BE3" s="40" t="s">
        <v>122</v>
      </c>
      <c r="BF3" s="40" t="s">
        <v>122</v>
      </c>
      <c r="BG3" s="40" t="s">
        <v>122</v>
      </c>
      <c r="BH3" s="40" t="s">
        <v>122</v>
      </c>
      <c r="BI3" s="40" t="s">
        <v>93</v>
      </c>
      <c r="BJ3" s="40" t="s">
        <v>93</v>
      </c>
      <c r="BK3" s="40" t="s">
        <v>123</v>
      </c>
      <c r="BL3" s="40" t="s">
        <v>93</v>
      </c>
      <c r="BM3" s="40" t="s">
        <v>93</v>
      </c>
      <c r="BN3" s="40" t="s">
        <v>93</v>
      </c>
      <c r="BO3" s="40" t="s">
        <v>93</v>
      </c>
      <c r="BP3" s="40" t="s">
        <v>122</v>
      </c>
      <c r="BQ3" s="40" t="s">
        <v>124</v>
      </c>
    </row>
    <row r="4" spans="1:69" ht="18" customHeight="1">
      <c r="A4" s="115" t="s">
        <v>125</v>
      </c>
      <c r="B4" s="34" t="s">
        <v>126</v>
      </c>
      <c r="C4" s="34"/>
      <c r="D4" s="34" t="s">
        <v>126</v>
      </c>
      <c r="E4" s="34" t="s">
        <v>126</v>
      </c>
      <c r="F4" s="34" t="s">
        <v>126</v>
      </c>
      <c r="G4" s="34" t="s">
        <v>126</v>
      </c>
      <c r="H4" s="34" t="s">
        <v>126</v>
      </c>
      <c r="I4" s="34" t="s">
        <v>126</v>
      </c>
      <c r="J4" s="34" t="s">
        <v>127</v>
      </c>
      <c r="K4" s="34" t="s">
        <v>126</v>
      </c>
      <c r="L4" s="34" t="s">
        <v>126</v>
      </c>
      <c r="M4" s="34" t="s">
        <v>126</v>
      </c>
      <c r="N4" s="34" t="s">
        <v>126</v>
      </c>
      <c r="O4" s="34" t="s">
        <v>126</v>
      </c>
      <c r="P4" s="34" t="s">
        <v>127</v>
      </c>
      <c r="Q4" s="34" t="s">
        <v>126</v>
      </c>
      <c r="R4" s="34" t="s">
        <v>126</v>
      </c>
      <c r="S4" s="34" t="s">
        <v>126</v>
      </c>
      <c r="T4" s="34" t="s">
        <v>126</v>
      </c>
      <c r="U4" s="34"/>
      <c r="V4" s="34" t="s">
        <v>126</v>
      </c>
      <c r="W4" s="34" t="s">
        <v>126</v>
      </c>
      <c r="X4" s="34" t="s">
        <v>126</v>
      </c>
      <c r="Y4" s="34" t="s">
        <v>126</v>
      </c>
      <c r="Z4" s="34" t="s">
        <v>127</v>
      </c>
      <c r="AA4" s="34" t="s">
        <v>126</v>
      </c>
      <c r="AB4" s="34" t="s">
        <v>126</v>
      </c>
      <c r="AC4" s="34" t="s">
        <v>126</v>
      </c>
      <c r="AD4" s="34" t="s">
        <v>126</v>
      </c>
      <c r="AE4" s="34" t="s">
        <v>127</v>
      </c>
      <c r="AF4" s="34" t="s">
        <v>126</v>
      </c>
      <c r="AG4" s="34" t="s">
        <v>126</v>
      </c>
      <c r="AH4" s="34" t="s">
        <v>126</v>
      </c>
      <c r="AI4" s="34" t="s">
        <v>126</v>
      </c>
      <c r="AJ4" s="34" t="s">
        <v>126</v>
      </c>
      <c r="AK4" s="34" t="s">
        <v>126</v>
      </c>
      <c r="AL4" s="34" t="s">
        <v>126</v>
      </c>
      <c r="AM4" s="34" t="s">
        <v>126</v>
      </c>
      <c r="AN4" s="34" t="s">
        <v>126</v>
      </c>
      <c r="AO4" s="34" t="s">
        <v>126</v>
      </c>
      <c r="AP4" s="34" t="s">
        <v>126</v>
      </c>
      <c r="AQ4" s="34" t="s">
        <v>126</v>
      </c>
      <c r="AR4" s="34" t="s">
        <v>126</v>
      </c>
      <c r="AS4" s="34"/>
      <c r="AT4" s="34" t="s">
        <v>126</v>
      </c>
      <c r="AU4" s="34" t="s">
        <v>126</v>
      </c>
      <c r="AV4" s="34" t="s">
        <v>126</v>
      </c>
      <c r="AW4" s="34" t="s">
        <v>126</v>
      </c>
      <c r="AX4" s="34" t="s">
        <v>126</v>
      </c>
      <c r="AY4" s="34" t="s">
        <v>126</v>
      </c>
      <c r="AZ4" s="34" t="s">
        <v>127</v>
      </c>
      <c r="BA4" s="34" t="s">
        <v>126</v>
      </c>
      <c r="BB4" s="34" t="s">
        <v>127</v>
      </c>
      <c r="BC4" s="34" t="s">
        <v>127</v>
      </c>
      <c r="BD4" s="34" t="s">
        <v>127</v>
      </c>
      <c r="BE4" s="34" t="s">
        <v>126</v>
      </c>
      <c r="BF4" s="34" t="s">
        <v>127</v>
      </c>
      <c r="BG4" s="34" t="s">
        <v>127</v>
      </c>
      <c r="BH4" s="34" t="s">
        <v>127</v>
      </c>
      <c r="BI4" s="34" t="s">
        <v>127</v>
      </c>
      <c r="BJ4" s="34" t="s">
        <v>126</v>
      </c>
      <c r="BK4" s="34" t="s">
        <v>126</v>
      </c>
      <c r="BL4" s="34" t="s">
        <v>126</v>
      </c>
      <c r="BM4" s="34" t="s">
        <v>126</v>
      </c>
      <c r="BN4" s="34" t="s">
        <v>126</v>
      </c>
      <c r="BO4" s="34" t="s">
        <v>126</v>
      </c>
      <c r="BP4" s="34" t="s">
        <v>126</v>
      </c>
      <c r="BQ4" s="34" t="s">
        <v>127</v>
      </c>
    </row>
    <row r="5" spans="1:69" ht="25.35" customHeight="1">
      <c r="A5" s="116" t="s">
        <v>128</v>
      </c>
      <c r="B5" s="37">
        <v>313</v>
      </c>
      <c r="C5" s="37"/>
      <c r="D5" s="37" t="s">
        <v>129</v>
      </c>
      <c r="E5" s="37" t="s">
        <v>130</v>
      </c>
      <c r="F5" s="37" t="s">
        <v>131</v>
      </c>
      <c r="G5" s="37" t="s">
        <v>132</v>
      </c>
      <c r="H5" s="37" t="s">
        <v>133</v>
      </c>
      <c r="I5" s="37"/>
      <c r="J5" s="37" t="s">
        <v>134</v>
      </c>
      <c r="K5" s="37" t="s">
        <v>135</v>
      </c>
      <c r="L5" s="37" t="s">
        <v>136</v>
      </c>
      <c r="M5" s="37" t="s">
        <v>137</v>
      </c>
      <c r="N5" s="37" t="s">
        <v>138</v>
      </c>
      <c r="O5" s="37" t="s">
        <v>139</v>
      </c>
      <c r="P5" s="37" t="s">
        <v>140</v>
      </c>
      <c r="Q5" s="37" t="s">
        <v>141</v>
      </c>
      <c r="R5" s="37" t="s">
        <v>142</v>
      </c>
      <c r="S5" s="37" t="s">
        <v>142</v>
      </c>
      <c r="T5" s="37" t="s">
        <v>143</v>
      </c>
      <c r="U5" s="37"/>
      <c r="V5" s="37" t="s">
        <v>144</v>
      </c>
      <c r="W5" s="37" t="s">
        <v>145</v>
      </c>
      <c r="X5" s="37" t="s">
        <v>146</v>
      </c>
      <c r="Y5" s="37" t="s">
        <v>147</v>
      </c>
      <c r="Z5" s="37" t="s">
        <v>148</v>
      </c>
      <c r="AA5" s="37" t="s">
        <v>138</v>
      </c>
      <c r="AB5" s="37" t="s">
        <v>138</v>
      </c>
      <c r="AC5" s="37" t="s">
        <v>142</v>
      </c>
      <c r="AD5" s="37" t="s">
        <v>149</v>
      </c>
      <c r="AE5" s="37" t="s">
        <v>138</v>
      </c>
      <c r="AF5" s="37" t="s">
        <v>150</v>
      </c>
      <c r="AG5" s="37" t="s">
        <v>138</v>
      </c>
      <c r="AH5" s="37" t="s">
        <v>151</v>
      </c>
      <c r="AI5" s="37">
        <v>5</v>
      </c>
      <c r="AJ5" s="37" t="s">
        <v>152</v>
      </c>
      <c r="AK5" s="37" t="s">
        <v>153</v>
      </c>
      <c r="AL5" s="37">
        <v>8</v>
      </c>
      <c r="AM5" s="37" t="s">
        <v>154</v>
      </c>
      <c r="AN5" s="37" t="s">
        <v>155</v>
      </c>
      <c r="AO5" s="37" t="s">
        <v>156</v>
      </c>
      <c r="AP5" s="37" t="s">
        <v>157</v>
      </c>
      <c r="AQ5" s="37" t="s">
        <v>138</v>
      </c>
      <c r="AR5" s="37" t="s">
        <v>158</v>
      </c>
      <c r="AS5" s="37"/>
      <c r="AT5" s="37" t="s">
        <v>159</v>
      </c>
      <c r="AU5" s="37" t="s">
        <v>150</v>
      </c>
      <c r="AV5" s="37" t="s">
        <v>160</v>
      </c>
      <c r="AW5" s="37" t="s">
        <v>161</v>
      </c>
      <c r="AX5" s="37" t="s">
        <v>161</v>
      </c>
      <c r="AY5" s="37" t="s">
        <v>162</v>
      </c>
      <c r="AZ5" s="37" t="s">
        <v>163</v>
      </c>
      <c r="BA5" s="37" t="s">
        <v>164</v>
      </c>
      <c r="BB5" s="37" t="s">
        <v>165</v>
      </c>
      <c r="BC5" s="37" t="s">
        <v>166</v>
      </c>
      <c r="BD5" s="37" t="s">
        <v>167</v>
      </c>
      <c r="BE5" s="37" t="s">
        <v>150</v>
      </c>
      <c r="BF5" s="37" t="s">
        <v>168</v>
      </c>
      <c r="BG5" s="37" t="s">
        <v>169</v>
      </c>
      <c r="BH5" s="37" t="s">
        <v>170</v>
      </c>
      <c r="BI5" s="37">
        <v>4</v>
      </c>
      <c r="BJ5" s="37" t="s">
        <v>171</v>
      </c>
      <c r="BK5" s="37">
        <v>3</v>
      </c>
      <c r="BL5" s="37">
        <v>2</v>
      </c>
      <c r="BM5" s="37">
        <v>1</v>
      </c>
      <c r="BN5" s="37" t="s">
        <v>172</v>
      </c>
      <c r="BO5" s="37" t="s">
        <v>173</v>
      </c>
      <c r="BP5" s="37" t="s">
        <v>150</v>
      </c>
      <c r="BQ5" s="37" t="s">
        <v>174</v>
      </c>
    </row>
    <row r="6" spans="1:69" ht="25.35" customHeight="1">
      <c r="A6" s="116" t="s">
        <v>175</v>
      </c>
      <c r="B6" s="37">
        <v>7</v>
      </c>
      <c r="C6" s="37"/>
      <c r="D6" s="37" t="s">
        <v>176</v>
      </c>
      <c r="E6" s="37" t="s">
        <v>177</v>
      </c>
      <c r="F6" s="37" t="s">
        <v>178</v>
      </c>
      <c r="G6" s="37" t="s">
        <v>179</v>
      </c>
      <c r="H6" s="37" t="s">
        <v>133</v>
      </c>
      <c r="I6" s="37"/>
      <c r="J6" s="37" t="s">
        <v>180</v>
      </c>
      <c r="K6" s="37" t="s">
        <v>181</v>
      </c>
      <c r="L6" s="37" t="s">
        <v>182</v>
      </c>
      <c r="M6" s="37" t="s">
        <v>183</v>
      </c>
      <c r="N6" s="37" t="s">
        <v>138</v>
      </c>
      <c r="O6" s="37" t="s">
        <v>184</v>
      </c>
      <c r="P6" s="37" t="s">
        <v>185</v>
      </c>
      <c r="Q6" s="37" t="s">
        <v>186</v>
      </c>
      <c r="R6" s="37" t="s">
        <v>187</v>
      </c>
      <c r="S6" s="37" t="s">
        <v>188</v>
      </c>
      <c r="T6" s="37" t="s">
        <v>189</v>
      </c>
      <c r="U6" s="37"/>
      <c r="V6" s="37" t="s">
        <v>144</v>
      </c>
      <c r="W6" s="37" t="s">
        <v>145</v>
      </c>
      <c r="X6" s="37" t="s">
        <v>146</v>
      </c>
      <c r="Y6" s="37" t="s">
        <v>190</v>
      </c>
      <c r="Z6" s="37" t="s">
        <v>148</v>
      </c>
      <c r="AA6" s="37" t="s">
        <v>150</v>
      </c>
      <c r="AB6" s="37" t="s">
        <v>150</v>
      </c>
      <c r="AC6" s="37" t="s">
        <v>187</v>
      </c>
      <c r="AD6" s="37" t="s">
        <v>191</v>
      </c>
      <c r="AE6" s="37" t="s">
        <v>150</v>
      </c>
      <c r="AF6" s="37" t="s">
        <v>138</v>
      </c>
      <c r="AG6" s="37" t="s">
        <v>150</v>
      </c>
      <c r="AH6" s="37" t="s">
        <v>192</v>
      </c>
      <c r="AI6" s="37">
        <v>2</v>
      </c>
      <c r="AJ6" s="37" t="s">
        <v>193</v>
      </c>
      <c r="AK6" s="37" t="s">
        <v>194</v>
      </c>
      <c r="AL6" s="37">
        <v>3</v>
      </c>
      <c r="AM6" s="37" t="s">
        <v>193</v>
      </c>
      <c r="AN6" s="37" t="s">
        <v>195</v>
      </c>
      <c r="AO6" s="37" t="s">
        <v>196</v>
      </c>
      <c r="AP6" s="37" t="s">
        <v>197</v>
      </c>
      <c r="AQ6" s="37" t="s">
        <v>150</v>
      </c>
      <c r="AR6" s="37" t="s">
        <v>198</v>
      </c>
      <c r="AS6" s="37"/>
      <c r="AT6" s="37" t="s">
        <v>199</v>
      </c>
      <c r="AU6" s="37" t="s">
        <v>138</v>
      </c>
      <c r="AV6" s="37" t="s">
        <v>200</v>
      </c>
      <c r="AW6" s="37" t="s">
        <v>161</v>
      </c>
      <c r="AX6" s="37" t="s">
        <v>161</v>
      </c>
      <c r="AY6" s="37" t="s">
        <v>173</v>
      </c>
      <c r="AZ6" s="37" t="s">
        <v>201</v>
      </c>
      <c r="BA6" s="37" t="s">
        <v>202</v>
      </c>
      <c r="BB6" s="37" t="s">
        <v>166</v>
      </c>
      <c r="BC6" s="37" t="s">
        <v>165</v>
      </c>
      <c r="BD6" s="37" t="s">
        <v>150</v>
      </c>
      <c r="BE6" s="37" t="s">
        <v>150</v>
      </c>
      <c r="BF6" s="37" t="s">
        <v>203</v>
      </c>
      <c r="BG6" s="37" t="s">
        <v>204</v>
      </c>
      <c r="BH6" s="37" t="s">
        <v>171</v>
      </c>
      <c r="BI6" s="37">
        <v>3</v>
      </c>
      <c r="BJ6" s="37" t="s">
        <v>170</v>
      </c>
      <c r="BK6" s="37">
        <v>6</v>
      </c>
      <c r="BL6" s="37">
        <v>4</v>
      </c>
      <c r="BM6" s="37">
        <v>3</v>
      </c>
      <c r="BN6" s="37" t="s">
        <v>205</v>
      </c>
      <c r="BO6" s="37" t="s">
        <v>206</v>
      </c>
      <c r="BP6" s="37" t="s">
        <v>150</v>
      </c>
      <c r="BQ6" s="37" t="s">
        <v>207</v>
      </c>
    </row>
    <row r="7" spans="1:69" ht="18" customHeight="1">
      <c r="A7" s="27" t="s">
        <v>208</v>
      </c>
      <c r="B7" s="171">
        <v>451</v>
      </c>
      <c r="C7" s="171"/>
      <c r="D7" s="35" t="s">
        <v>209</v>
      </c>
      <c r="E7" s="35" t="s">
        <v>210</v>
      </c>
      <c r="F7" s="35"/>
      <c r="G7" s="35" t="s">
        <v>132</v>
      </c>
      <c r="H7" s="35" t="s">
        <v>211</v>
      </c>
      <c r="I7" s="35"/>
      <c r="J7" s="35"/>
      <c r="K7" s="36"/>
      <c r="L7" s="35"/>
      <c r="M7" s="15"/>
      <c r="N7" s="15" t="s">
        <v>212</v>
      </c>
      <c r="O7" s="117" t="s">
        <v>184</v>
      </c>
      <c r="P7" s="15"/>
      <c r="Q7" s="15"/>
      <c r="R7" s="15"/>
      <c r="S7" s="15"/>
      <c r="T7" s="15" t="s">
        <v>213</v>
      </c>
      <c r="U7" s="16" t="s">
        <v>214</v>
      </c>
      <c r="V7" s="35"/>
      <c r="W7" s="35"/>
      <c r="X7" s="35"/>
      <c r="Y7" s="15"/>
      <c r="Z7" s="15"/>
      <c r="AA7" s="15"/>
      <c r="AB7" s="36"/>
      <c r="AC7" s="15"/>
      <c r="AD7" s="15"/>
      <c r="AE7" s="15" t="s">
        <v>215</v>
      </c>
      <c r="AF7" s="15"/>
      <c r="AG7" s="15"/>
      <c r="AH7" s="35"/>
      <c r="AI7" s="35"/>
      <c r="AJ7" s="35"/>
      <c r="AK7" s="35"/>
      <c r="AL7" s="35"/>
      <c r="AM7" s="35"/>
      <c r="AN7" s="35"/>
      <c r="AO7" s="15"/>
      <c r="AP7" s="35" t="s">
        <v>215</v>
      </c>
      <c r="AQ7" s="15"/>
      <c r="AR7" s="35" t="s">
        <v>216</v>
      </c>
      <c r="AS7" s="35" t="s">
        <v>217</v>
      </c>
      <c r="AT7" s="15"/>
      <c r="AU7" s="15"/>
      <c r="AV7" s="15"/>
      <c r="AW7" s="15"/>
      <c r="AX7" s="15"/>
      <c r="AY7" s="15"/>
      <c r="AZ7" s="15"/>
      <c r="BA7" s="15"/>
      <c r="BB7" s="15"/>
      <c r="BC7" s="15"/>
      <c r="BD7" s="15"/>
      <c r="BE7" s="15"/>
      <c r="BF7" s="15"/>
      <c r="BG7" s="15"/>
      <c r="BH7" s="15"/>
      <c r="BI7" s="15"/>
      <c r="BJ7" s="15"/>
      <c r="BM7" s="15"/>
      <c r="BN7" s="15"/>
      <c r="BO7" s="15"/>
      <c r="BP7" s="15"/>
      <c r="BQ7" s="35"/>
    </row>
    <row r="8" spans="1:69" ht="18" customHeight="1">
      <c r="A8" s="27" t="s">
        <v>218</v>
      </c>
      <c r="B8" s="118">
        <v>909</v>
      </c>
      <c r="C8" s="118"/>
      <c r="D8" s="36" t="s">
        <v>219</v>
      </c>
      <c r="E8" s="36" t="s">
        <v>220</v>
      </c>
      <c r="F8" s="36" t="s">
        <v>221</v>
      </c>
      <c r="G8" s="36" t="s">
        <v>132</v>
      </c>
      <c r="H8" s="35" t="s">
        <v>211</v>
      </c>
      <c r="I8" s="35"/>
      <c r="J8" s="36" t="s">
        <v>222</v>
      </c>
      <c r="K8" s="36"/>
      <c r="L8" s="35"/>
      <c r="M8" s="15"/>
      <c r="N8" s="15" t="s">
        <v>223</v>
      </c>
      <c r="O8" s="117" t="s">
        <v>184</v>
      </c>
      <c r="P8" s="15"/>
      <c r="Q8" s="15"/>
      <c r="R8" s="15"/>
      <c r="S8" s="15"/>
      <c r="T8" s="15" t="s">
        <v>138</v>
      </c>
      <c r="U8" s="15" t="s">
        <v>224</v>
      </c>
      <c r="V8" s="36"/>
      <c r="W8" s="36"/>
      <c r="X8" s="35"/>
      <c r="Y8" s="15"/>
      <c r="Z8" s="15"/>
      <c r="AA8" s="15"/>
      <c r="AB8" s="36"/>
      <c r="AC8" s="15"/>
      <c r="AD8" s="15"/>
      <c r="AE8" s="36" t="s">
        <v>138</v>
      </c>
      <c r="AF8" s="15"/>
      <c r="AG8" s="15"/>
      <c r="AH8" s="35"/>
      <c r="AI8" s="35"/>
      <c r="AJ8" s="35"/>
      <c r="AK8" s="35"/>
      <c r="AL8" s="35"/>
      <c r="AM8" s="35"/>
      <c r="AN8" s="35"/>
      <c r="AO8" s="15"/>
      <c r="AP8" s="36" t="s">
        <v>219</v>
      </c>
      <c r="AQ8" s="15"/>
      <c r="AR8" s="35" t="s">
        <v>225</v>
      </c>
      <c r="AS8" s="35" t="s">
        <v>160</v>
      </c>
      <c r="AT8" s="15"/>
      <c r="AU8" s="15"/>
      <c r="AV8" s="15"/>
      <c r="AW8" s="15"/>
      <c r="AX8" s="15"/>
      <c r="AY8" s="15"/>
      <c r="AZ8" s="15"/>
      <c r="BA8" s="15"/>
      <c r="BB8" s="15"/>
      <c r="BC8" s="15"/>
      <c r="BD8" s="15"/>
      <c r="BE8" s="15"/>
      <c r="BF8" s="15"/>
      <c r="BG8" s="15"/>
      <c r="BH8" s="15"/>
      <c r="BI8" s="15"/>
      <c r="BJ8" s="36"/>
      <c r="BM8" s="36"/>
      <c r="BN8" s="36"/>
      <c r="BO8" s="36"/>
      <c r="BP8" s="15"/>
      <c r="BQ8" s="36"/>
    </row>
    <row r="9" spans="1:69" ht="18" customHeight="1">
      <c r="A9" s="27" t="s">
        <v>226</v>
      </c>
      <c r="B9" s="118">
        <v>910</v>
      </c>
      <c r="C9" s="118"/>
      <c r="D9" s="36" t="s">
        <v>227</v>
      </c>
      <c r="E9" s="36" t="s">
        <v>228</v>
      </c>
      <c r="F9" s="36" t="s">
        <v>221</v>
      </c>
      <c r="G9" s="36" t="s">
        <v>132</v>
      </c>
      <c r="H9" s="35" t="s">
        <v>211</v>
      </c>
      <c r="I9" s="35"/>
      <c r="J9" s="36" t="s">
        <v>229</v>
      </c>
      <c r="K9" s="36"/>
      <c r="L9" s="35"/>
      <c r="M9" s="15"/>
      <c r="N9" s="15" t="s">
        <v>223</v>
      </c>
      <c r="O9" s="117" t="s">
        <v>184</v>
      </c>
      <c r="P9" s="15"/>
      <c r="Q9" s="15"/>
      <c r="R9" s="15"/>
      <c r="S9" s="15"/>
      <c r="T9" s="15" t="s">
        <v>138</v>
      </c>
      <c r="U9" s="15" t="s">
        <v>230</v>
      </c>
      <c r="V9" s="36"/>
      <c r="W9" s="36"/>
      <c r="X9" s="35"/>
      <c r="Y9" s="15"/>
      <c r="Z9" s="15"/>
      <c r="AA9" s="15"/>
      <c r="AB9" s="36"/>
      <c r="AC9" s="15"/>
      <c r="AD9" s="15"/>
      <c r="AE9" s="36" t="s">
        <v>138</v>
      </c>
      <c r="AF9" s="15"/>
      <c r="AG9" s="15"/>
      <c r="AH9" s="35"/>
      <c r="AI9" s="35"/>
      <c r="AJ9" s="35"/>
      <c r="AK9" s="35"/>
      <c r="AL9" s="35"/>
      <c r="AM9" s="35"/>
      <c r="AN9" s="35"/>
      <c r="AO9" s="15"/>
      <c r="AP9" s="36" t="s">
        <v>227</v>
      </c>
      <c r="AQ9" s="15"/>
      <c r="AR9" s="35" t="s">
        <v>225</v>
      </c>
      <c r="AS9" s="35" t="s">
        <v>160</v>
      </c>
      <c r="AT9" s="15"/>
      <c r="AU9" s="15"/>
      <c r="AV9" s="15"/>
      <c r="AW9" s="15"/>
      <c r="AX9" s="15"/>
      <c r="AY9" s="15"/>
      <c r="AZ9" s="15"/>
      <c r="BA9" s="15"/>
      <c r="BB9" s="15"/>
      <c r="BC9" s="15"/>
      <c r="BD9" s="15"/>
      <c r="BE9" s="15"/>
      <c r="BF9" s="15"/>
      <c r="BG9" s="15"/>
      <c r="BH9" s="15"/>
      <c r="BI9" s="15"/>
      <c r="BJ9" s="36"/>
      <c r="BM9" s="36"/>
      <c r="BN9" s="36"/>
      <c r="BO9" s="36"/>
      <c r="BP9" s="15"/>
      <c r="BQ9" s="36"/>
    </row>
    <row r="10" spans="1:69" ht="18" customHeight="1">
      <c r="A10" s="27" t="s">
        <v>231</v>
      </c>
      <c r="B10" s="118">
        <v>911</v>
      </c>
      <c r="C10" s="118"/>
      <c r="D10" s="36" t="s">
        <v>232</v>
      </c>
      <c r="E10" s="36" t="s">
        <v>233</v>
      </c>
      <c r="F10" s="36" t="s">
        <v>221</v>
      </c>
      <c r="G10" s="36" t="s">
        <v>132</v>
      </c>
      <c r="H10" s="35" t="s">
        <v>211</v>
      </c>
      <c r="I10" s="35"/>
      <c r="J10" s="36" t="s">
        <v>229</v>
      </c>
      <c r="K10" s="36"/>
      <c r="L10" s="35"/>
      <c r="M10" s="15"/>
      <c r="N10" s="15" t="s">
        <v>223</v>
      </c>
      <c r="O10" s="117" t="s">
        <v>184</v>
      </c>
      <c r="P10" s="15"/>
      <c r="Q10" s="15"/>
      <c r="R10" s="15"/>
      <c r="S10" s="15"/>
      <c r="T10" s="15" t="s">
        <v>138</v>
      </c>
      <c r="U10" s="15" t="s">
        <v>234</v>
      </c>
      <c r="V10" s="36"/>
      <c r="W10" s="36"/>
      <c r="X10" s="35"/>
      <c r="Y10" s="15"/>
      <c r="Z10" s="15"/>
      <c r="AA10" s="15"/>
      <c r="AB10" s="36"/>
      <c r="AC10" s="15"/>
      <c r="AD10" s="15"/>
      <c r="AE10" s="36" t="s">
        <v>138</v>
      </c>
      <c r="AF10" s="15"/>
      <c r="AG10" s="15"/>
      <c r="AH10" s="35"/>
      <c r="AI10" s="35"/>
      <c r="AJ10" s="35"/>
      <c r="AK10" s="35"/>
      <c r="AL10" s="35"/>
      <c r="AM10" s="35"/>
      <c r="AN10" s="35"/>
      <c r="AO10" s="15"/>
      <c r="AP10" s="36" t="s">
        <v>232</v>
      </c>
      <c r="AQ10" s="15"/>
      <c r="AR10" s="35" t="s">
        <v>225</v>
      </c>
      <c r="AS10" s="35" t="s">
        <v>160</v>
      </c>
      <c r="AT10" s="15"/>
      <c r="AU10" s="15"/>
      <c r="AV10" s="15"/>
      <c r="AW10" s="15"/>
      <c r="AX10" s="15"/>
      <c r="AY10" s="15"/>
      <c r="AZ10" s="15"/>
      <c r="BA10" s="15"/>
      <c r="BB10" s="15"/>
      <c r="BC10" s="15"/>
      <c r="BD10" s="15"/>
      <c r="BE10" s="15"/>
      <c r="BF10" s="15"/>
      <c r="BG10" s="15"/>
      <c r="BH10" s="15"/>
      <c r="BI10" s="15"/>
      <c r="BJ10" s="36"/>
      <c r="BM10" s="36"/>
      <c r="BN10" s="36"/>
      <c r="BO10" s="36"/>
      <c r="BP10" s="15"/>
      <c r="BQ10" s="36"/>
    </row>
    <row r="11" spans="1:69" ht="18" customHeight="1">
      <c r="A11" s="27" t="s">
        <v>235</v>
      </c>
      <c r="B11" s="118">
        <v>912</v>
      </c>
      <c r="C11" s="118"/>
      <c r="D11" s="36" t="s">
        <v>236</v>
      </c>
      <c r="E11" s="36" t="s">
        <v>237</v>
      </c>
      <c r="F11" s="36" t="s">
        <v>221</v>
      </c>
      <c r="G11" s="36" t="s">
        <v>132</v>
      </c>
      <c r="H11" s="35" t="s">
        <v>211</v>
      </c>
      <c r="I11" s="35"/>
      <c r="J11" s="36" t="s">
        <v>229</v>
      </c>
      <c r="K11" s="36"/>
      <c r="L11" s="35"/>
      <c r="M11" s="15"/>
      <c r="N11" s="15" t="s">
        <v>223</v>
      </c>
      <c r="O11" s="117" t="s">
        <v>184</v>
      </c>
      <c r="P11" s="15"/>
      <c r="Q11" s="15"/>
      <c r="R11" s="15"/>
      <c r="S11" s="15"/>
      <c r="T11" s="15" t="s">
        <v>138</v>
      </c>
      <c r="U11" s="15" t="s">
        <v>238</v>
      </c>
      <c r="V11" s="36"/>
      <c r="W11" s="36"/>
      <c r="X11" s="35"/>
      <c r="Y11" s="15"/>
      <c r="Z11" s="15"/>
      <c r="AA11" s="15"/>
      <c r="AB11" s="36"/>
      <c r="AC11" s="15"/>
      <c r="AD11" s="15"/>
      <c r="AE11" s="36" t="s">
        <v>138</v>
      </c>
      <c r="AF11" s="15"/>
      <c r="AG11" s="15"/>
      <c r="AH11" s="35"/>
      <c r="AI11" s="35"/>
      <c r="AJ11" s="35"/>
      <c r="AK11" s="35"/>
      <c r="AL11" s="35"/>
      <c r="AM11" s="35"/>
      <c r="AN11" s="35"/>
      <c r="AO11" s="15"/>
      <c r="AP11" s="36" t="s">
        <v>236</v>
      </c>
      <c r="AQ11" s="15"/>
      <c r="AR11" s="35" t="s">
        <v>225</v>
      </c>
      <c r="AS11" s="35" t="s">
        <v>160</v>
      </c>
      <c r="AT11" s="15"/>
      <c r="AU11" s="15"/>
      <c r="AV11" s="15"/>
      <c r="AW11" s="15"/>
      <c r="AX11" s="15"/>
      <c r="AY11" s="15"/>
      <c r="AZ11" s="15"/>
      <c r="BA11" s="15"/>
      <c r="BB11" s="15"/>
      <c r="BC11" s="15"/>
      <c r="BD11" s="15"/>
      <c r="BE11" s="15"/>
      <c r="BF11" s="15"/>
      <c r="BG11" s="15"/>
      <c r="BH11" s="15"/>
      <c r="BI11" s="15"/>
      <c r="BJ11" s="36"/>
      <c r="BM11" s="36"/>
      <c r="BN11" s="36"/>
      <c r="BO11" s="36"/>
      <c r="BP11" s="15"/>
      <c r="BQ11" s="36"/>
    </row>
    <row r="12" spans="1:69" ht="18" customHeight="1">
      <c r="A12" s="27" t="s">
        <v>239</v>
      </c>
      <c r="B12" s="118">
        <v>921</v>
      </c>
      <c r="C12" s="118"/>
      <c r="D12" s="36" t="s">
        <v>240</v>
      </c>
      <c r="E12" s="36" t="s">
        <v>241</v>
      </c>
      <c r="F12" s="36" t="s">
        <v>221</v>
      </c>
      <c r="G12" s="36" t="s">
        <v>132</v>
      </c>
      <c r="H12" s="35" t="s">
        <v>211</v>
      </c>
      <c r="I12" s="35"/>
      <c r="J12" s="36" t="s">
        <v>229</v>
      </c>
      <c r="K12" s="36"/>
      <c r="L12" s="35"/>
      <c r="M12" s="15"/>
      <c r="N12" s="15" t="s">
        <v>223</v>
      </c>
      <c r="O12" s="117" t="s">
        <v>184</v>
      </c>
      <c r="P12" s="15"/>
      <c r="Q12" s="15"/>
      <c r="R12" s="15"/>
      <c r="S12" s="15"/>
      <c r="T12" s="15" t="s">
        <v>138</v>
      </c>
      <c r="U12" s="15" t="s">
        <v>242</v>
      </c>
      <c r="V12" s="36"/>
      <c r="W12" s="36"/>
      <c r="X12" s="35"/>
      <c r="Y12" s="15"/>
      <c r="Z12" s="15"/>
      <c r="AA12" s="15"/>
      <c r="AB12" s="36"/>
      <c r="AC12" s="15"/>
      <c r="AD12" s="15"/>
      <c r="AE12" s="36" t="s">
        <v>138</v>
      </c>
      <c r="AF12" s="15"/>
      <c r="AG12" s="15"/>
      <c r="AH12" s="35"/>
      <c r="AI12" s="35"/>
      <c r="AJ12" s="35"/>
      <c r="AK12" s="35"/>
      <c r="AL12" s="35"/>
      <c r="AM12" s="35"/>
      <c r="AN12" s="35"/>
      <c r="AO12" s="15"/>
      <c r="AP12" s="36" t="s">
        <v>243</v>
      </c>
      <c r="AQ12" s="15"/>
      <c r="AR12" s="35" t="s">
        <v>225</v>
      </c>
      <c r="AS12" s="35" t="s">
        <v>160</v>
      </c>
      <c r="AT12" s="15"/>
      <c r="AU12" s="15"/>
      <c r="AV12" s="15"/>
      <c r="AW12" s="15"/>
      <c r="AX12" s="15"/>
      <c r="AY12" s="15"/>
      <c r="AZ12" s="15"/>
      <c r="BA12" s="15"/>
      <c r="BB12" s="15"/>
      <c r="BC12" s="15"/>
      <c r="BD12" s="15"/>
      <c r="BE12" s="15"/>
      <c r="BF12" s="15"/>
      <c r="BG12" s="15"/>
      <c r="BH12" s="15"/>
      <c r="BI12" s="15"/>
      <c r="BJ12" s="36"/>
      <c r="BM12" s="36"/>
      <c r="BN12" s="36"/>
      <c r="BO12" s="36"/>
      <c r="BP12" s="15"/>
      <c r="BQ12" s="36"/>
    </row>
    <row r="13" spans="1:69" ht="18" customHeight="1">
      <c r="A13" s="27" t="s">
        <v>244</v>
      </c>
      <c r="B13" s="118">
        <v>923</v>
      </c>
      <c r="C13" s="118"/>
      <c r="D13" s="36" t="s">
        <v>245</v>
      </c>
      <c r="E13" s="36" t="s">
        <v>246</v>
      </c>
      <c r="F13" s="36" t="s">
        <v>221</v>
      </c>
      <c r="G13" s="36" t="s">
        <v>132</v>
      </c>
      <c r="H13" s="35" t="s">
        <v>211</v>
      </c>
      <c r="I13" s="35"/>
      <c r="J13" s="36" t="s">
        <v>229</v>
      </c>
      <c r="K13" s="36"/>
      <c r="L13" s="35"/>
      <c r="M13" s="15"/>
      <c r="N13" s="15" t="s">
        <v>223</v>
      </c>
      <c r="O13" s="117" t="s">
        <v>184</v>
      </c>
      <c r="P13" s="15"/>
      <c r="Q13" s="15"/>
      <c r="R13" s="15"/>
      <c r="S13" s="15"/>
      <c r="T13" s="15" t="s">
        <v>138</v>
      </c>
      <c r="U13" s="15" t="s">
        <v>247</v>
      </c>
      <c r="V13" s="36"/>
      <c r="W13" s="36"/>
      <c r="X13" s="35"/>
      <c r="Y13" s="15"/>
      <c r="Z13" s="15"/>
      <c r="AA13" s="15"/>
      <c r="AB13" s="36"/>
      <c r="AC13" s="15"/>
      <c r="AD13" s="15"/>
      <c r="AE13" s="36" t="s">
        <v>138</v>
      </c>
      <c r="AF13" s="15"/>
      <c r="AG13" s="15"/>
      <c r="AH13" s="35"/>
      <c r="AI13" s="35"/>
      <c r="AJ13" s="35"/>
      <c r="AK13" s="35"/>
      <c r="AL13" s="35"/>
      <c r="AM13" s="35"/>
      <c r="AN13" s="35"/>
      <c r="AO13" s="15"/>
      <c r="AP13" s="36" t="s">
        <v>245</v>
      </c>
      <c r="AQ13" s="15"/>
      <c r="AR13" s="35" t="s">
        <v>225</v>
      </c>
      <c r="AS13" s="35" t="s">
        <v>160</v>
      </c>
      <c r="AT13" s="15"/>
      <c r="AU13" s="15"/>
      <c r="AV13" s="15"/>
      <c r="AW13" s="15"/>
      <c r="AX13" s="15"/>
      <c r="AY13" s="15"/>
      <c r="AZ13" s="15"/>
      <c r="BA13" s="15"/>
      <c r="BB13" s="15"/>
      <c r="BC13" s="15"/>
      <c r="BD13" s="15"/>
      <c r="BE13" s="15"/>
      <c r="BF13" s="15"/>
      <c r="BG13" s="15"/>
      <c r="BH13" s="15"/>
      <c r="BI13" s="15"/>
      <c r="BJ13" s="36"/>
      <c r="BM13" s="36"/>
      <c r="BN13" s="36"/>
      <c r="BO13" s="36"/>
      <c r="BP13" s="15"/>
      <c r="BQ13" s="36"/>
    </row>
    <row r="14" spans="1:69" ht="18" customHeight="1">
      <c r="A14" s="27" t="s">
        <v>248</v>
      </c>
      <c r="B14" s="118">
        <v>924</v>
      </c>
      <c r="C14" s="118"/>
      <c r="D14" s="36" t="s">
        <v>249</v>
      </c>
      <c r="E14" s="36" t="s">
        <v>250</v>
      </c>
      <c r="F14" s="36" t="s">
        <v>221</v>
      </c>
      <c r="G14" s="36" t="s">
        <v>132</v>
      </c>
      <c r="H14" s="35" t="s">
        <v>211</v>
      </c>
      <c r="I14" s="35"/>
      <c r="J14" s="36" t="s">
        <v>229</v>
      </c>
      <c r="K14" s="36"/>
      <c r="L14" s="35"/>
      <c r="M14" s="36"/>
      <c r="N14" s="15" t="s">
        <v>223</v>
      </c>
      <c r="O14" s="119" t="s">
        <v>184</v>
      </c>
      <c r="P14" s="36"/>
      <c r="Q14" s="15"/>
      <c r="R14" s="15"/>
      <c r="S14" s="15"/>
      <c r="T14" s="15" t="s">
        <v>138</v>
      </c>
      <c r="U14" s="15" t="s">
        <v>251</v>
      </c>
      <c r="V14" s="36"/>
      <c r="W14" s="36"/>
      <c r="X14" s="35"/>
      <c r="Y14" s="15"/>
      <c r="Z14" s="36"/>
      <c r="AA14" s="15"/>
      <c r="AB14" s="36"/>
      <c r="AC14" s="15"/>
      <c r="AD14" s="15"/>
      <c r="AE14" s="36" t="s">
        <v>138</v>
      </c>
      <c r="AF14" s="15"/>
      <c r="AG14" s="15"/>
      <c r="AH14" s="35"/>
      <c r="AI14" s="35"/>
      <c r="AJ14" s="35"/>
      <c r="AK14" s="35"/>
      <c r="AL14" s="35"/>
      <c r="AM14" s="35"/>
      <c r="AN14" s="35"/>
      <c r="AO14" s="15"/>
      <c r="AP14" s="36" t="s">
        <v>249</v>
      </c>
      <c r="AQ14" s="15"/>
      <c r="AR14" s="35" t="s">
        <v>225</v>
      </c>
      <c r="AS14" s="35" t="s">
        <v>160</v>
      </c>
      <c r="AT14" s="15"/>
      <c r="AU14" s="15"/>
      <c r="AV14" s="15"/>
      <c r="AW14" s="15"/>
      <c r="AX14" s="15"/>
      <c r="AY14" s="15"/>
      <c r="AZ14" s="15"/>
      <c r="BA14" s="15"/>
      <c r="BB14" s="36"/>
      <c r="BC14" s="36"/>
      <c r="BD14" s="15"/>
      <c r="BE14" s="15"/>
      <c r="BF14" s="15"/>
      <c r="BG14" s="15"/>
      <c r="BH14" s="15"/>
      <c r="BI14" s="15"/>
      <c r="BJ14" s="36"/>
      <c r="BM14" s="36"/>
      <c r="BN14" s="36"/>
      <c r="BO14" s="36"/>
      <c r="BP14" s="36"/>
      <c r="BQ14" s="36"/>
    </row>
    <row r="15" spans="1:69" ht="18" customHeight="1">
      <c r="A15" s="27" t="s">
        <v>252</v>
      </c>
      <c r="B15" s="118">
        <v>926</v>
      </c>
      <c r="C15" s="118"/>
      <c r="D15" s="36" t="s">
        <v>253</v>
      </c>
      <c r="E15" s="36" t="s">
        <v>254</v>
      </c>
      <c r="F15" s="36" t="s">
        <v>221</v>
      </c>
      <c r="G15" s="36" t="s">
        <v>132</v>
      </c>
      <c r="H15" s="35" t="s">
        <v>211</v>
      </c>
      <c r="I15" s="35"/>
      <c r="J15" s="36" t="s">
        <v>229</v>
      </c>
      <c r="K15" s="36"/>
      <c r="L15" s="35"/>
      <c r="M15" s="36"/>
      <c r="N15" s="15" t="s">
        <v>223</v>
      </c>
      <c r="O15" s="119" t="s">
        <v>184</v>
      </c>
      <c r="P15" s="36"/>
      <c r="Q15" s="15"/>
      <c r="R15" s="15"/>
      <c r="S15" s="15"/>
      <c r="T15" s="15" t="s">
        <v>138</v>
      </c>
      <c r="U15" s="15" t="s">
        <v>255</v>
      </c>
      <c r="V15" s="36"/>
      <c r="W15" s="36"/>
      <c r="X15" s="35"/>
      <c r="Y15" s="15"/>
      <c r="Z15" s="36"/>
      <c r="AA15" s="15"/>
      <c r="AB15" s="36"/>
      <c r="AC15" s="15"/>
      <c r="AD15" s="15"/>
      <c r="AE15" s="36" t="s">
        <v>138</v>
      </c>
      <c r="AF15" s="15"/>
      <c r="AG15" s="15"/>
      <c r="AH15" s="35"/>
      <c r="AI15" s="35"/>
      <c r="AJ15" s="35"/>
      <c r="AK15" s="35"/>
      <c r="AL15" s="35"/>
      <c r="AM15" s="35"/>
      <c r="AN15" s="35"/>
      <c r="AO15" s="15"/>
      <c r="AP15" s="36" t="s">
        <v>253</v>
      </c>
      <c r="AQ15" s="15"/>
      <c r="AR15" s="35" t="s">
        <v>225</v>
      </c>
      <c r="AS15" s="35" t="s">
        <v>160</v>
      </c>
      <c r="AT15" s="15"/>
      <c r="AU15" s="15"/>
      <c r="AV15" s="15"/>
      <c r="AW15" s="15"/>
      <c r="AX15" s="15"/>
      <c r="AY15" s="15"/>
      <c r="AZ15" s="15"/>
      <c r="BA15" s="15"/>
      <c r="BB15" s="36"/>
      <c r="BC15" s="36"/>
      <c r="BD15" s="15"/>
      <c r="BE15" s="15"/>
      <c r="BF15" s="15"/>
      <c r="BG15" s="15"/>
      <c r="BH15" s="15"/>
      <c r="BI15" s="15"/>
      <c r="BJ15" s="36"/>
      <c r="BM15" s="36"/>
      <c r="BN15" s="36"/>
      <c r="BO15" s="36"/>
      <c r="BP15" s="36"/>
      <c r="BQ15" s="36"/>
    </row>
    <row r="16" spans="1:69" ht="18" customHeight="1">
      <c r="A16" s="27" t="s">
        <v>256</v>
      </c>
      <c r="B16" s="118">
        <v>940</v>
      </c>
      <c r="C16" s="118"/>
      <c r="D16" s="36" t="s">
        <v>257</v>
      </c>
      <c r="E16" s="36" t="s">
        <v>258</v>
      </c>
      <c r="F16" s="36"/>
      <c r="G16" s="36" t="s">
        <v>132</v>
      </c>
      <c r="H16" s="35" t="s">
        <v>211</v>
      </c>
      <c r="I16" s="35"/>
      <c r="J16" s="36"/>
      <c r="K16" s="36"/>
      <c r="L16" s="35"/>
      <c r="M16" s="36"/>
      <c r="N16" s="15" t="s">
        <v>212</v>
      </c>
      <c r="O16" s="119" t="s">
        <v>184</v>
      </c>
      <c r="P16" s="36"/>
      <c r="Q16" s="15"/>
      <c r="R16" s="15"/>
      <c r="S16" s="15"/>
      <c r="T16" s="15" t="s">
        <v>259</v>
      </c>
      <c r="U16" s="15" t="s">
        <v>260</v>
      </c>
      <c r="V16" s="36"/>
      <c r="W16" s="36"/>
      <c r="X16" s="35"/>
      <c r="Y16" s="15"/>
      <c r="Z16" s="36"/>
      <c r="AA16" s="15"/>
      <c r="AB16" s="36"/>
      <c r="AC16" s="15"/>
      <c r="AD16" s="15"/>
      <c r="AE16" s="36" t="s">
        <v>150</v>
      </c>
      <c r="AF16" s="15"/>
      <c r="AG16" s="15"/>
      <c r="AH16" s="35"/>
      <c r="AI16" s="35"/>
      <c r="AJ16" s="35"/>
      <c r="AK16" s="35"/>
      <c r="AL16" s="35"/>
      <c r="AM16" s="35"/>
      <c r="AN16" s="35"/>
      <c r="AO16" s="15"/>
      <c r="AP16" s="36" t="s">
        <v>215</v>
      </c>
      <c r="AQ16" s="15"/>
      <c r="AR16" s="35" t="s">
        <v>225</v>
      </c>
      <c r="AS16" s="35" t="s">
        <v>160</v>
      </c>
      <c r="AT16" s="15"/>
      <c r="AU16" s="15"/>
      <c r="AV16" s="15"/>
      <c r="AW16" s="15"/>
      <c r="AX16" s="15"/>
      <c r="AY16" s="15"/>
      <c r="AZ16" s="15"/>
      <c r="BA16" s="15"/>
      <c r="BB16" s="36"/>
      <c r="BC16" s="36"/>
      <c r="BD16" s="15"/>
      <c r="BE16" s="15"/>
      <c r="BF16" s="15"/>
      <c r="BG16" s="15"/>
      <c r="BH16" s="15"/>
      <c r="BI16" s="15"/>
      <c r="BJ16" s="36"/>
      <c r="BM16" s="36"/>
      <c r="BN16" s="36"/>
      <c r="BO16" s="36"/>
      <c r="BP16" s="36"/>
      <c r="BQ16" s="36"/>
    </row>
    <row r="17" spans="1:69" ht="18" customHeight="1">
      <c r="A17" s="27" t="s">
        <v>261</v>
      </c>
      <c r="B17" s="118">
        <v>1208</v>
      </c>
      <c r="C17" s="118"/>
      <c r="D17" s="36" t="s">
        <v>262</v>
      </c>
      <c r="E17" s="36" t="s">
        <v>263</v>
      </c>
      <c r="F17" s="36"/>
      <c r="G17" s="36" t="s">
        <v>132</v>
      </c>
      <c r="H17" s="35" t="s">
        <v>211</v>
      </c>
      <c r="I17" s="35"/>
      <c r="J17" s="36"/>
      <c r="K17" s="36"/>
      <c r="L17" s="35"/>
      <c r="M17" s="36"/>
      <c r="N17" s="15" t="s">
        <v>223</v>
      </c>
      <c r="O17" s="119" t="s">
        <v>184</v>
      </c>
      <c r="P17" s="36"/>
      <c r="Q17" s="15"/>
      <c r="R17" s="15"/>
      <c r="S17" s="15"/>
      <c r="T17" s="15" t="s">
        <v>150</v>
      </c>
      <c r="U17" s="15" t="s">
        <v>264</v>
      </c>
      <c r="V17" s="36"/>
      <c r="W17" s="36"/>
      <c r="X17" s="35"/>
      <c r="Y17" s="15"/>
      <c r="Z17" s="36"/>
      <c r="AA17" s="15"/>
      <c r="AB17" s="36"/>
      <c r="AC17" s="15"/>
      <c r="AD17" s="15"/>
      <c r="AE17" s="36" t="s">
        <v>150</v>
      </c>
      <c r="AF17" s="15"/>
      <c r="AG17" s="15"/>
      <c r="AH17" s="35"/>
      <c r="AI17" s="35"/>
      <c r="AJ17" s="35"/>
      <c r="AK17" s="35"/>
      <c r="AL17" s="35"/>
      <c r="AM17" s="35"/>
      <c r="AN17" s="35"/>
      <c r="AO17" s="15"/>
      <c r="AP17" s="36" t="s">
        <v>215</v>
      </c>
      <c r="AQ17" s="15"/>
      <c r="AR17" s="35" t="s">
        <v>216</v>
      </c>
      <c r="AS17" s="35" t="s">
        <v>217</v>
      </c>
      <c r="AT17" s="15"/>
      <c r="AU17" s="15"/>
      <c r="AV17" s="15"/>
      <c r="AW17" s="15"/>
      <c r="AX17" s="15"/>
      <c r="AY17" s="15"/>
      <c r="AZ17" s="15"/>
      <c r="BA17" s="15"/>
      <c r="BB17" s="36"/>
      <c r="BC17" s="36"/>
      <c r="BD17" s="15"/>
      <c r="BE17" s="15"/>
      <c r="BF17" s="15"/>
      <c r="BG17" s="15"/>
      <c r="BH17" s="15"/>
      <c r="BI17" s="15"/>
      <c r="BJ17" s="36"/>
      <c r="BM17" s="36"/>
      <c r="BN17" s="36"/>
      <c r="BO17" s="36"/>
      <c r="BP17" s="36"/>
      <c r="BQ17" s="36"/>
    </row>
    <row r="18" spans="1:69" ht="18" customHeight="1">
      <c r="A18" s="27" t="s">
        <v>265</v>
      </c>
      <c r="B18" s="118">
        <v>1214</v>
      </c>
      <c r="C18" s="118"/>
      <c r="D18" s="36" t="s">
        <v>266</v>
      </c>
      <c r="E18" s="36" t="s">
        <v>267</v>
      </c>
      <c r="F18" s="36"/>
      <c r="G18" s="36" t="s">
        <v>132</v>
      </c>
      <c r="H18" s="35" t="s">
        <v>211</v>
      </c>
      <c r="I18" s="35"/>
      <c r="J18" s="36"/>
      <c r="K18" s="36"/>
      <c r="L18" s="35"/>
      <c r="M18" s="36"/>
      <c r="N18" s="15" t="s">
        <v>212</v>
      </c>
      <c r="O18" s="119" t="s">
        <v>184</v>
      </c>
      <c r="P18" s="36"/>
      <c r="Q18" s="15"/>
      <c r="R18" s="15"/>
      <c r="S18" s="15"/>
      <c r="T18" s="15" t="s">
        <v>150</v>
      </c>
      <c r="U18" s="15">
        <v>0</v>
      </c>
      <c r="V18" s="36"/>
      <c r="W18" s="36"/>
      <c r="X18" s="35"/>
      <c r="Y18" s="15"/>
      <c r="Z18" s="36"/>
      <c r="AA18" s="15"/>
      <c r="AB18" s="36"/>
      <c r="AC18" s="15"/>
      <c r="AD18" s="15"/>
      <c r="AE18" s="36" t="s">
        <v>215</v>
      </c>
      <c r="AF18" s="15"/>
      <c r="AG18" s="15"/>
      <c r="AH18" s="35"/>
      <c r="AI18" s="35"/>
      <c r="AJ18" s="35"/>
      <c r="AK18" s="35"/>
      <c r="AL18" s="35"/>
      <c r="AM18" s="35"/>
      <c r="AN18" s="35"/>
      <c r="AO18" s="15"/>
      <c r="AP18" s="36" t="s">
        <v>215</v>
      </c>
      <c r="AQ18" s="15"/>
      <c r="AR18" s="35" t="s">
        <v>216</v>
      </c>
      <c r="AS18" s="35" t="s">
        <v>216</v>
      </c>
      <c r="AT18" s="15"/>
      <c r="AU18" s="15"/>
      <c r="AV18" s="15"/>
      <c r="AW18" s="15"/>
      <c r="AX18" s="15"/>
      <c r="AY18" s="15"/>
      <c r="AZ18" s="15"/>
      <c r="BA18" s="15"/>
      <c r="BB18" s="36"/>
      <c r="BC18" s="36"/>
      <c r="BD18" s="15"/>
      <c r="BE18" s="15"/>
      <c r="BF18" s="15"/>
      <c r="BG18" s="15"/>
      <c r="BH18" s="15"/>
      <c r="BI18" s="15"/>
      <c r="BJ18" s="36"/>
      <c r="BM18" s="36"/>
      <c r="BN18" s="36"/>
      <c r="BO18" s="36"/>
      <c r="BP18" s="36"/>
      <c r="BQ18" s="36"/>
    </row>
    <row r="19" spans="1:69" ht="18" customHeight="1">
      <c r="A19" s="27" t="s">
        <v>268</v>
      </c>
      <c r="B19" s="118">
        <v>1220</v>
      </c>
      <c r="C19" s="118"/>
      <c r="D19" s="36" t="s">
        <v>269</v>
      </c>
      <c r="E19" s="36" t="s">
        <v>270</v>
      </c>
      <c r="F19" s="36"/>
      <c r="G19" s="36" t="s">
        <v>132</v>
      </c>
      <c r="H19" s="35" t="s">
        <v>211</v>
      </c>
      <c r="I19" s="35"/>
      <c r="J19" s="36"/>
      <c r="K19" s="36"/>
      <c r="L19" s="35"/>
      <c r="M19" s="36"/>
      <c r="N19" s="15" t="s">
        <v>212</v>
      </c>
      <c r="O19" s="119" t="s">
        <v>184</v>
      </c>
      <c r="P19" s="36"/>
      <c r="Q19" s="15" t="s">
        <v>189</v>
      </c>
      <c r="R19" s="15"/>
      <c r="S19" s="15"/>
      <c r="T19" s="15" t="s">
        <v>150</v>
      </c>
      <c r="U19" s="15" t="s">
        <v>271</v>
      </c>
      <c r="V19" s="36"/>
      <c r="W19" s="36"/>
      <c r="X19" s="35"/>
      <c r="Y19" s="15"/>
      <c r="Z19" s="36"/>
      <c r="AA19" s="15"/>
      <c r="AB19" s="36"/>
      <c r="AC19" s="15"/>
      <c r="AD19" s="15"/>
      <c r="AE19" s="36"/>
      <c r="AF19" s="15"/>
      <c r="AG19" s="15"/>
      <c r="AH19" s="35"/>
      <c r="AI19" s="35"/>
      <c r="AJ19" s="35"/>
      <c r="AK19" s="35"/>
      <c r="AL19" s="35"/>
      <c r="AM19" s="35"/>
      <c r="AN19" s="35"/>
      <c r="AO19" s="15"/>
      <c r="AP19" s="36" t="s">
        <v>215</v>
      </c>
      <c r="AQ19" s="15"/>
      <c r="AR19" s="35" t="s">
        <v>272</v>
      </c>
      <c r="AS19" s="35" t="s">
        <v>160</v>
      </c>
      <c r="AT19" s="15"/>
      <c r="AU19" s="15"/>
      <c r="AV19" s="15"/>
      <c r="AW19" s="15"/>
      <c r="AX19" s="15"/>
      <c r="AY19" s="15"/>
      <c r="AZ19" s="15"/>
      <c r="BA19" s="15"/>
      <c r="BB19" s="36"/>
      <c r="BC19" s="36"/>
      <c r="BD19" s="15"/>
      <c r="BE19" s="15"/>
      <c r="BF19" s="15"/>
      <c r="BG19" s="15"/>
      <c r="BH19" s="15"/>
      <c r="BI19" s="15"/>
      <c r="BJ19" s="36"/>
      <c r="BM19" s="36"/>
      <c r="BN19" s="36"/>
      <c r="BO19" s="36"/>
      <c r="BP19" s="36"/>
      <c r="BQ19" s="36"/>
    </row>
    <row r="20" spans="1:69" ht="18" customHeight="1">
      <c r="A20" s="27" t="s">
        <v>273</v>
      </c>
      <c r="B20" s="118">
        <v>1418</v>
      </c>
      <c r="C20" s="118"/>
      <c r="D20" s="36" t="s">
        <v>274</v>
      </c>
      <c r="E20" s="36" t="s">
        <v>275</v>
      </c>
      <c r="F20" s="36"/>
      <c r="G20" s="36" t="s">
        <v>132</v>
      </c>
      <c r="H20" s="35" t="s">
        <v>211</v>
      </c>
      <c r="I20" s="35"/>
      <c r="J20" s="36"/>
      <c r="K20" s="36"/>
      <c r="L20" s="35"/>
      <c r="M20" s="36"/>
      <c r="N20" s="15" t="s">
        <v>212</v>
      </c>
      <c r="O20" s="119" t="s">
        <v>276</v>
      </c>
      <c r="P20" s="36"/>
      <c r="Q20" s="15"/>
      <c r="R20" s="15"/>
      <c r="S20" s="15"/>
      <c r="T20" s="15" t="s">
        <v>150</v>
      </c>
      <c r="U20" s="15" t="s">
        <v>277</v>
      </c>
      <c r="V20" s="36"/>
      <c r="W20" s="36"/>
      <c r="X20" s="35"/>
      <c r="Y20" s="15"/>
      <c r="Z20" s="36"/>
      <c r="AA20" s="15"/>
      <c r="AB20" s="36"/>
      <c r="AC20" s="15"/>
      <c r="AD20" s="15"/>
      <c r="AE20" s="36"/>
      <c r="AF20" s="15"/>
      <c r="AG20" s="15"/>
      <c r="AH20" s="35"/>
      <c r="AI20" s="35"/>
      <c r="AJ20" s="35"/>
      <c r="AK20" s="35"/>
      <c r="AL20" s="35"/>
      <c r="AM20" s="35"/>
      <c r="AN20" s="35"/>
      <c r="AO20" s="15"/>
      <c r="AP20" s="36" t="s">
        <v>215</v>
      </c>
      <c r="AQ20" s="15"/>
      <c r="AR20" s="35" t="s">
        <v>216</v>
      </c>
      <c r="AS20" s="35" t="s">
        <v>217</v>
      </c>
      <c r="AT20" s="15"/>
      <c r="AU20" s="15"/>
      <c r="AV20" s="15"/>
      <c r="AW20" s="15"/>
      <c r="AX20" s="15"/>
      <c r="AY20" s="15"/>
      <c r="AZ20" s="15"/>
      <c r="BA20" s="15"/>
      <c r="BB20" s="36"/>
      <c r="BC20" s="36"/>
      <c r="BD20" s="15"/>
      <c r="BE20" s="15"/>
      <c r="BF20" s="15"/>
      <c r="BG20" s="15"/>
      <c r="BH20" s="15"/>
      <c r="BI20" s="15"/>
      <c r="BJ20" s="36"/>
      <c r="BM20" s="36"/>
      <c r="BN20" s="36"/>
      <c r="BO20" s="36"/>
      <c r="BP20" s="36"/>
      <c r="BQ20" s="36"/>
    </row>
    <row r="21" spans="1:69" ht="18" customHeight="1">
      <c r="A21" s="27" t="s">
        <v>278</v>
      </c>
      <c r="B21" s="118">
        <v>1660</v>
      </c>
      <c r="C21" s="118"/>
      <c r="D21" s="36" t="s">
        <v>279</v>
      </c>
      <c r="E21" s="36" t="s">
        <v>280</v>
      </c>
      <c r="F21" s="36" t="s">
        <v>215</v>
      </c>
      <c r="G21" s="36" t="s">
        <v>132</v>
      </c>
      <c r="H21" s="35" t="s">
        <v>211</v>
      </c>
      <c r="I21" s="35"/>
      <c r="J21" s="36" t="s">
        <v>281</v>
      </c>
      <c r="K21" s="36"/>
      <c r="L21" s="35"/>
      <c r="M21" s="36"/>
      <c r="N21" s="15" t="s">
        <v>223</v>
      </c>
      <c r="O21" s="119" t="s">
        <v>276</v>
      </c>
      <c r="P21" s="36"/>
      <c r="Q21" s="15"/>
      <c r="R21" s="15"/>
      <c r="S21" s="15"/>
      <c r="T21" s="15" t="s">
        <v>138</v>
      </c>
      <c r="U21" s="15" t="s">
        <v>282</v>
      </c>
      <c r="V21" s="36"/>
      <c r="W21" s="36"/>
      <c r="X21" s="35"/>
      <c r="Y21" s="15"/>
      <c r="Z21" s="36"/>
      <c r="AA21" s="15"/>
      <c r="AB21" s="36"/>
      <c r="AC21" s="15"/>
      <c r="AD21" s="15"/>
      <c r="AE21" s="36" t="s">
        <v>138</v>
      </c>
      <c r="AF21" s="15"/>
      <c r="AG21" s="15"/>
      <c r="AH21" s="35"/>
      <c r="AI21" s="35"/>
      <c r="AJ21" s="35"/>
      <c r="AK21" s="35"/>
      <c r="AL21" s="35"/>
      <c r="AM21" s="35"/>
      <c r="AN21" s="35"/>
      <c r="AO21" s="15"/>
      <c r="AP21" s="36" t="s">
        <v>215</v>
      </c>
      <c r="AQ21" s="15"/>
      <c r="AR21" s="35" t="s">
        <v>283</v>
      </c>
      <c r="AS21" s="35" t="s">
        <v>160</v>
      </c>
      <c r="AT21" s="15"/>
      <c r="AU21" s="15"/>
      <c r="AV21" s="15"/>
      <c r="AW21" s="15"/>
      <c r="AX21" s="15"/>
      <c r="AY21" s="15"/>
      <c r="AZ21" s="15"/>
      <c r="BA21" s="15"/>
      <c r="BB21" s="36"/>
      <c r="BC21" s="36"/>
      <c r="BD21" s="15"/>
      <c r="BE21" s="15"/>
      <c r="BF21" s="15"/>
      <c r="BG21" s="15"/>
      <c r="BH21" s="15"/>
      <c r="BI21" s="15"/>
      <c r="BJ21" s="36"/>
      <c r="BM21" s="36"/>
      <c r="BN21" s="36"/>
      <c r="BO21" s="36"/>
      <c r="BP21" s="36"/>
      <c r="BQ21" s="36"/>
    </row>
    <row r="22" spans="1:69" ht="18" customHeight="1">
      <c r="A22" s="27" t="s">
        <v>284</v>
      </c>
      <c r="B22" s="118">
        <v>2887</v>
      </c>
      <c r="C22" s="118"/>
      <c r="D22" s="36" t="s">
        <v>285</v>
      </c>
      <c r="E22" s="36" t="s">
        <v>286</v>
      </c>
      <c r="F22" s="36"/>
      <c r="G22" s="36" t="s">
        <v>132</v>
      </c>
      <c r="H22" s="35" t="s">
        <v>211</v>
      </c>
      <c r="I22" s="35"/>
      <c r="J22" s="36"/>
      <c r="K22" s="36"/>
      <c r="L22" s="35"/>
      <c r="M22" s="36"/>
      <c r="N22" s="15" t="s">
        <v>223</v>
      </c>
      <c r="O22" s="119" t="s">
        <v>276</v>
      </c>
      <c r="P22" s="36"/>
      <c r="Q22" s="15"/>
      <c r="R22" s="15"/>
      <c r="S22" s="15"/>
      <c r="T22" s="15" t="s">
        <v>138</v>
      </c>
      <c r="U22" s="15" t="s">
        <v>287</v>
      </c>
      <c r="V22" s="36"/>
      <c r="W22" s="36"/>
      <c r="X22" s="35"/>
      <c r="Y22" s="15"/>
      <c r="Z22" s="36"/>
      <c r="AA22" s="15"/>
      <c r="AB22" s="36"/>
      <c r="AC22" s="15"/>
      <c r="AD22" s="15"/>
      <c r="AE22" s="36" t="s">
        <v>150</v>
      </c>
      <c r="AF22" s="15"/>
      <c r="AG22" s="15"/>
      <c r="AH22" s="35"/>
      <c r="AI22" s="35"/>
      <c r="AJ22" s="35"/>
      <c r="AK22" s="35"/>
      <c r="AL22" s="35"/>
      <c r="AM22" s="35"/>
      <c r="AN22" s="35"/>
      <c r="AO22" s="15"/>
      <c r="AP22" s="36" t="s">
        <v>288</v>
      </c>
      <c r="AQ22" s="15"/>
      <c r="AR22" s="35" t="s">
        <v>289</v>
      </c>
      <c r="AS22" s="35" t="s">
        <v>216</v>
      </c>
      <c r="AT22" s="15"/>
      <c r="AU22" s="15"/>
      <c r="AV22" s="15"/>
      <c r="AW22" s="15"/>
      <c r="AX22" s="15"/>
      <c r="AY22" s="15"/>
      <c r="AZ22" s="15"/>
      <c r="BA22" s="15"/>
      <c r="BB22" s="36"/>
      <c r="BC22" s="36"/>
      <c r="BD22" s="15"/>
      <c r="BE22" s="15"/>
      <c r="BF22" s="15"/>
      <c r="BG22" s="15"/>
      <c r="BH22" s="15"/>
      <c r="BI22" s="15"/>
      <c r="BJ22" s="36"/>
      <c r="BM22" s="36"/>
      <c r="BN22" s="36"/>
      <c r="BO22" s="36"/>
      <c r="BP22" s="36"/>
      <c r="BQ22" s="36"/>
    </row>
    <row r="23" spans="1:69" ht="18" customHeight="1">
      <c r="A23" s="27" t="s">
        <v>290</v>
      </c>
      <c r="B23" s="118">
        <v>2918</v>
      </c>
      <c r="C23" s="118"/>
      <c r="D23" s="36" t="s">
        <v>291</v>
      </c>
      <c r="E23" s="36" t="s">
        <v>292</v>
      </c>
      <c r="F23" s="36"/>
      <c r="G23" s="36" t="s">
        <v>132</v>
      </c>
      <c r="H23" s="35" t="s">
        <v>211</v>
      </c>
      <c r="I23" s="35"/>
      <c r="J23" s="36"/>
      <c r="K23" s="36"/>
      <c r="L23" s="35"/>
      <c r="M23" s="36"/>
      <c r="N23" s="15" t="s">
        <v>212</v>
      </c>
      <c r="O23" s="119" t="s">
        <v>184</v>
      </c>
      <c r="P23" s="36"/>
      <c r="Q23" s="15"/>
      <c r="R23" s="15"/>
      <c r="S23" s="15"/>
      <c r="T23" s="15" t="s">
        <v>138</v>
      </c>
      <c r="U23" s="15" t="s">
        <v>293</v>
      </c>
      <c r="V23" s="36"/>
      <c r="W23" s="36"/>
      <c r="X23" s="35"/>
      <c r="Y23" s="15"/>
      <c r="Z23" s="36"/>
      <c r="AA23" s="15"/>
      <c r="AB23" s="36"/>
      <c r="AC23" s="15"/>
      <c r="AD23" s="15"/>
      <c r="AE23" s="36"/>
      <c r="AF23" s="15"/>
      <c r="AG23" s="15"/>
      <c r="AH23" s="35"/>
      <c r="AI23" s="35"/>
      <c r="AJ23" s="35"/>
      <c r="AK23" s="35"/>
      <c r="AL23" s="35"/>
      <c r="AM23" s="35"/>
      <c r="AN23" s="35"/>
      <c r="AO23" s="15"/>
      <c r="AP23" s="36" t="s">
        <v>291</v>
      </c>
      <c r="AQ23" s="15"/>
      <c r="AR23" s="35" t="s">
        <v>216</v>
      </c>
      <c r="AS23" s="35" t="s">
        <v>217</v>
      </c>
      <c r="AT23" s="15"/>
      <c r="AU23" s="15"/>
      <c r="AV23" s="15"/>
      <c r="AW23" s="15"/>
      <c r="AX23" s="15"/>
      <c r="AY23" s="15"/>
      <c r="AZ23" s="15"/>
      <c r="BA23" s="15"/>
      <c r="BB23" s="36"/>
      <c r="BC23" s="36"/>
      <c r="BD23" s="15"/>
      <c r="BE23" s="15"/>
      <c r="BF23" s="15"/>
      <c r="BG23" s="15"/>
      <c r="BH23" s="15"/>
      <c r="BI23" s="15"/>
      <c r="BJ23" s="36"/>
      <c r="BM23" s="36"/>
      <c r="BN23" s="36"/>
      <c r="BO23" s="36"/>
      <c r="BP23" s="36"/>
      <c r="BQ23" s="36"/>
    </row>
    <row r="24" spans="1:69" ht="18" customHeight="1">
      <c r="A24" s="27" t="s">
        <v>294</v>
      </c>
      <c r="B24" s="118">
        <v>4245</v>
      </c>
      <c r="C24" s="118"/>
      <c r="D24" s="36" t="s">
        <v>295</v>
      </c>
      <c r="E24" s="36" t="s">
        <v>296</v>
      </c>
      <c r="F24" s="36"/>
      <c r="G24" s="36" t="s">
        <v>132</v>
      </c>
      <c r="H24" s="35" t="s">
        <v>211</v>
      </c>
      <c r="I24" s="35"/>
      <c r="J24" s="36"/>
      <c r="K24" s="36"/>
      <c r="L24" s="35"/>
      <c r="M24" s="36"/>
      <c r="N24" s="15" t="s">
        <v>223</v>
      </c>
      <c r="O24" s="119" t="s">
        <v>184</v>
      </c>
      <c r="P24" s="36"/>
      <c r="Q24" s="15"/>
      <c r="R24" s="15"/>
      <c r="S24" s="15"/>
      <c r="T24" s="15" t="s">
        <v>150</v>
      </c>
      <c r="U24" s="15" t="s">
        <v>297</v>
      </c>
      <c r="V24" s="36"/>
      <c r="W24" s="36"/>
      <c r="X24" s="35"/>
      <c r="Y24" s="15"/>
      <c r="Z24" s="36"/>
      <c r="AA24" s="15"/>
      <c r="AB24" s="36"/>
      <c r="AC24" s="15"/>
      <c r="AD24" s="15"/>
      <c r="AE24" s="36" t="s">
        <v>138</v>
      </c>
      <c r="AF24" s="15"/>
      <c r="AG24" s="15"/>
      <c r="AH24" s="35"/>
      <c r="AI24" s="35"/>
      <c r="AJ24" s="35"/>
      <c r="AK24" s="35"/>
      <c r="AL24" s="35"/>
      <c r="AM24" s="35"/>
      <c r="AN24" s="35"/>
      <c r="AO24" s="15"/>
      <c r="AP24" s="36" t="s">
        <v>288</v>
      </c>
      <c r="AQ24" s="15"/>
      <c r="AR24" s="35" t="s">
        <v>216</v>
      </c>
      <c r="AS24" s="35" t="s">
        <v>216</v>
      </c>
      <c r="AT24" s="15"/>
      <c r="AU24" s="15"/>
      <c r="AV24" s="15"/>
      <c r="AW24" s="15"/>
      <c r="AX24" s="15"/>
      <c r="AY24" s="15"/>
      <c r="AZ24" s="15"/>
      <c r="BA24" s="15"/>
      <c r="BB24" s="36"/>
      <c r="BC24" s="36"/>
      <c r="BD24" s="15"/>
      <c r="BE24" s="15"/>
      <c r="BF24" s="15"/>
      <c r="BG24" s="15"/>
      <c r="BH24" s="15"/>
      <c r="BI24" s="15"/>
      <c r="BJ24" s="36"/>
      <c r="BM24" s="36"/>
      <c r="BN24" s="36"/>
      <c r="BO24" s="36"/>
      <c r="BP24" s="36"/>
      <c r="BQ24" s="36"/>
    </row>
    <row r="25" spans="1:69" ht="18" customHeight="1">
      <c r="A25" s="27" t="s">
        <v>298</v>
      </c>
      <c r="B25" s="118">
        <v>4260</v>
      </c>
      <c r="C25" s="118"/>
      <c r="D25" s="36" t="s">
        <v>299</v>
      </c>
      <c r="E25" s="36" t="s">
        <v>300</v>
      </c>
      <c r="F25" s="36"/>
      <c r="G25" s="36" t="s">
        <v>132</v>
      </c>
      <c r="H25" s="35" t="s">
        <v>211</v>
      </c>
      <c r="I25" s="35"/>
      <c r="J25" s="36"/>
      <c r="K25" s="36"/>
      <c r="L25" s="35"/>
      <c r="M25" s="36"/>
      <c r="N25" s="15" t="s">
        <v>212</v>
      </c>
      <c r="O25" s="119" t="s">
        <v>276</v>
      </c>
      <c r="P25" s="36"/>
      <c r="Q25" s="15"/>
      <c r="R25" s="15"/>
      <c r="S25" s="15"/>
      <c r="T25" s="15" t="s">
        <v>138</v>
      </c>
      <c r="U25" s="15" t="s">
        <v>301</v>
      </c>
      <c r="V25" s="36"/>
      <c r="W25" s="36"/>
      <c r="X25" s="35"/>
      <c r="Y25" s="15"/>
      <c r="Z25" s="36"/>
      <c r="AA25" s="15"/>
      <c r="AB25" s="36"/>
      <c r="AC25" s="15"/>
      <c r="AD25" s="15"/>
      <c r="AE25" s="36"/>
      <c r="AF25" s="15"/>
      <c r="AG25" s="15"/>
      <c r="AH25" s="35"/>
      <c r="AI25" s="35"/>
      <c r="AJ25" s="35"/>
      <c r="AK25" s="35"/>
      <c r="AL25" s="35"/>
      <c r="AM25" s="35"/>
      <c r="AN25" s="35"/>
      <c r="AO25" s="15"/>
      <c r="AP25" s="36" t="s">
        <v>215</v>
      </c>
      <c r="AQ25" s="15"/>
      <c r="AR25" s="35" t="s">
        <v>216</v>
      </c>
      <c r="AS25" s="35" t="s">
        <v>216</v>
      </c>
      <c r="AT25" s="15"/>
      <c r="AU25" s="15"/>
      <c r="AV25" s="15"/>
      <c r="AW25" s="15"/>
      <c r="AX25" s="15"/>
      <c r="AY25" s="15"/>
      <c r="AZ25" s="15"/>
      <c r="BA25" s="15"/>
      <c r="BB25" s="36"/>
      <c r="BC25" s="36"/>
      <c r="BD25" s="15"/>
      <c r="BE25" s="15"/>
      <c r="BF25" s="15"/>
      <c r="BG25" s="15"/>
      <c r="BH25" s="15"/>
      <c r="BI25" s="15"/>
      <c r="BJ25" s="36"/>
      <c r="BM25" s="36"/>
      <c r="BN25" s="36"/>
      <c r="BO25" s="36"/>
      <c r="BP25" s="36"/>
      <c r="BQ25" s="36"/>
    </row>
    <row r="26" spans="1:69" ht="18" customHeight="1">
      <c r="A26" s="27" t="s">
        <v>302</v>
      </c>
      <c r="B26" s="118">
        <v>4261</v>
      </c>
      <c r="C26" s="118"/>
      <c r="D26" s="36" t="s">
        <v>303</v>
      </c>
      <c r="E26" s="36" t="s">
        <v>304</v>
      </c>
      <c r="F26" s="36"/>
      <c r="G26" s="36" t="s">
        <v>132</v>
      </c>
      <c r="H26" s="35" t="s">
        <v>211</v>
      </c>
      <c r="I26" s="35"/>
      <c r="J26" s="36"/>
      <c r="K26" s="36"/>
      <c r="L26" s="35"/>
      <c r="M26" s="36"/>
      <c r="N26" s="15" t="s">
        <v>212</v>
      </c>
      <c r="O26" s="119" t="s">
        <v>276</v>
      </c>
      <c r="P26" s="36"/>
      <c r="Q26" s="15"/>
      <c r="R26" s="15"/>
      <c r="S26" s="15"/>
      <c r="T26" s="15" t="s">
        <v>138</v>
      </c>
      <c r="U26" s="15">
        <v>0</v>
      </c>
      <c r="V26" s="36"/>
      <c r="W26" s="36"/>
      <c r="X26" s="35"/>
      <c r="Y26" s="15"/>
      <c r="Z26" s="36"/>
      <c r="AA26" s="15"/>
      <c r="AB26" s="36"/>
      <c r="AC26" s="15"/>
      <c r="AD26" s="15"/>
      <c r="AE26" s="36" t="s">
        <v>215</v>
      </c>
      <c r="AF26" s="15"/>
      <c r="AG26" s="15"/>
      <c r="AH26" s="35"/>
      <c r="AI26" s="35"/>
      <c r="AJ26" s="35"/>
      <c r="AK26" s="35"/>
      <c r="AL26" s="35"/>
      <c r="AM26" s="35"/>
      <c r="AN26" s="35"/>
      <c r="AO26" s="15"/>
      <c r="AP26" s="36" t="s">
        <v>215</v>
      </c>
      <c r="AQ26" s="15"/>
      <c r="AR26" s="35" t="s">
        <v>216</v>
      </c>
      <c r="AS26" s="35" t="s">
        <v>217</v>
      </c>
      <c r="AT26" s="15"/>
      <c r="AU26" s="15"/>
      <c r="AV26" s="15"/>
      <c r="AW26" s="15"/>
      <c r="AX26" s="15"/>
      <c r="AY26" s="15"/>
      <c r="AZ26" s="15"/>
      <c r="BA26" s="15"/>
      <c r="BB26" s="36"/>
      <c r="BC26" s="36"/>
      <c r="BD26" s="15"/>
      <c r="BE26" s="15"/>
      <c r="BF26" s="15"/>
      <c r="BG26" s="15"/>
      <c r="BH26" s="15"/>
      <c r="BI26" s="15"/>
      <c r="BJ26" s="36"/>
      <c r="BM26" s="36"/>
      <c r="BN26" s="36"/>
      <c r="BO26" s="36"/>
      <c r="BP26" s="36"/>
      <c r="BQ26" s="36"/>
    </row>
    <row r="27" spans="1:69" ht="18" customHeight="1">
      <c r="A27" s="27" t="s">
        <v>305</v>
      </c>
      <c r="B27" s="118">
        <v>5281</v>
      </c>
      <c r="C27" s="118"/>
      <c r="D27" s="36" t="s">
        <v>306</v>
      </c>
      <c r="E27" s="36" t="s">
        <v>307</v>
      </c>
      <c r="F27" s="36" t="s">
        <v>9</v>
      </c>
      <c r="G27" s="36" t="s">
        <v>179</v>
      </c>
      <c r="H27" s="35" t="s">
        <v>211</v>
      </c>
      <c r="I27" s="35"/>
      <c r="J27" s="36" t="s">
        <v>308</v>
      </c>
      <c r="K27" s="36"/>
      <c r="L27" s="35"/>
      <c r="M27" s="36"/>
      <c r="N27" s="15" t="s">
        <v>223</v>
      </c>
      <c r="O27" s="119" t="s">
        <v>309</v>
      </c>
      <c r="P27" s="36"/>
      <c r="Q27" s="15"/>
      <c r="R27" s="15"/>
      <c r="S27" s="15"/>
      <c r="T27" s="15" t="s">
        <v>138</v>
      </c>
      <c r="U27" s="15" t="s">
        <v>310</v>
      </c>
      <c r="V27" s="36"/>
      <c r="W27" s="36"/>
      <c r="X27" s="35"/>
      <c r="Y27" s="15"/>
      <c r="Z27" s="36"/>
      <c r="AA27" s="15"/>
      <c r="AB27" s="36"/>
      <c r="AC27" s="15"/>
      <c r="AD27" s="15"/>
      <c r="AE27" s="36" t="s">
        <v>150</v>
      </c>
      <c r="AF27" s="15"/>
      <c r="AG27" s="15"/>
      <c r="AH27" s="35"/>
      <c r="AI27" s="35"/>
      <c r="AJ27" s="35"/>
      <c r="AK27" s="35"/>
      <c r="AL27" s="35"/>
      <c r="AM27" s="35"/>
      <c r="AN27" s="35"/>
      <c r="AO27" s="15"/>
      <c r="AP27" s="36" t="s">
        <v>311</v>
      </c>
      <c r="AQ27" s="15"/>
      <c r="AR27" s="35" t="s">
        <v>312</v>
      </c>
      <c r="AS27" s="35" t="s">
        <v>160</v>
      </c>
      <c r="AT27" s="15"/>
      <c r="AU27" s="15"/>
      <c r="AV27" s="15"/>
      <c r="AW27" s="15"/>
      <c r="AX27" s="15"/>
      <c r="AY27" s="15"/>
      <c r="AZ27" s="15"/>
      <c r="BA27" s="15"/>
      <c r="BB27" s="36"/>
      <c r="BC27" s="36"/>
      <c r="BD27" s="15"/>
      <c r="BE27" s="15"/>
      <c r="BF27" s="15"/>
      <c r="BG27" s="15"/>
      <c r="BH27" s="15"/>
      <c r="BI27" s="15"/>
      <c r="BJ27" s="36"/>
      <c r="BM27" s="36"/>
      <c r="BN27" s="36"/>
      <c r="BO27" s="36"/>
      <c r="BP27" s="36"/>
      <c r="BQ27" s="36"/>
    </row>
    <row r="28" spans="1:69" ht="18" customHeight="1">
      <c r="A28" s="27" t="s">
        <v>313</v>
      </c>
      <c r="B28" s="118">
        <v>5282</v>
      </c>
      <c r="C28" s="118"/>
      <c r="D28" s="36" t="s">
        <v>314</v>
      </c>
      <c r="E28" s="36" t="s">
        <v>315</v>
      </c>
      <c r="F28" s="36"/>
      <c r="G28" s="36" t="s">
        <v>179</v>
      </c>
      <c r="H28" s="35" t="s">
        <v>211</v>
      </c>
      <c r="I28" s="35"/>
      <c r="J28" s="36"/>
      <c r="K28" s="36"/>
      <c r="L28" s="35"/>
      <c r="M28" s="36"/>
      <c r="N28" s="15" t="s">
        <v>223</v>
      </c>
      <c r="O28" s="119" t="s">
        <v>309</v>
      </c>
      <c r="P28" s="36"/>
      <c r="Q28" s="15"/>
      <c r="R28" s="15"/>
      <c r="S28" s="15"/>
      <c r="T28" s="15" t="s">
        <v>150</v>
      </c>
      <c r="U28" s="15" t="s">
        <v>216</v>
      </c>
      <c r="V28" s="36"/>
      <c r="W28" s="36"/>
      <c r="X28" s="35"/>
      <c r="Y28" s="15"/>
      <c r="Z28" s="36"/>
      <c r="AA28" s="15"/>
      <c r="AB28" s="36"/>
      <c r="AC28" s="15"/>
      <c r="AD28" s="15"/>
      <c r="AE28" s="36"/>
      <c r="AF28" s="15"/>
      <c r="AG28" s="15"/>
      <c r="AH28" s="35"/>
      <c r="AI28" s="35"/>
      <c r="AJ28" s="35"/>
      <c r="AK28" s="35"/>
      <c r="AL28" s="35"/>
      <c r="AM28" s="35"/>
      <c r="AN28" s="35"/>
      <c r="AO28" s="15"/>
      <c r="AP28" s="36" t="s">
        <v>316</v>
      </c>
      <c r="AQ28" s="15"/>
      <c r="AR28" s="35" t="s">
        <v>216</v>
      </c>
      <c r="AS28" s="35" t="s">
        <v>216</v>
      </c>
      <c r="AT28" s="15"/>
      <c r="AU28" s="15"/>
      <c r="AV28" s="15"/>
      <c r="AW28" s="15"/>
      <c r="AX28" s="15"/>
      <c r="AY28" s="15"/>
      <c r="AZ28" s="15"/>
      <c r="BA28" s="15"/>
      <c r="BB28" s="36"/>
      <c r="BC28" s="36"/>
      <c r="BD28" s="15"/>
      <c r="BE28" s="15"/>
      <c r="BF28" s="15"/>
      <c r="BG28" s="15"/>
      <c r="BH28" s="15"/>
      <c r="BI28" s="15"/>
      <c r="BJ28" s="36"/>
      <c r="BM28" s="36"/>
      <c r="BN28" s="36"/>
      <c r="BO28" s="36"/>
      <c r="BP28" s="36"/>
      <c r="BQ28" s="36"/>
    </row>
    <row r="29" spans="1:69" ht="18" customHeight="1">
      <c r="A29" s="27" t="s">
        <v>317</v>
      </c>
      <c r="B29" s="118">
        <v>5283</v>
      </c>
      <c r="C29" s="118"/>
      <c r="D29" s="36" t="s">
        <v>318</v>
      </c>
      <c r="E29" s="36" t="s">
        <v>319</v>
      </c>
      <c r="F29" s="36" t="s">
        <v>320</v>
      </c>
      <c r="G29" s="36"/>
      <c r="H29" s="35" t="s">
        <v>211</v>
      </c>
      <c r="I29" s="35"/>
      <c r="J29" s="36" t="s">
        <v>308</v>
      </c>
      <c r="K29" s="36"/>
      <c r="L29" s="35"/>
      <c r="M29" s="36"/>
      <c r="N29" s="15" t="s">
        <v>223</v>
      </c>
      <c r="O29" s="119" t="s">
        <v>309</v>
      </c>
      <c r="P29" s="36"/>
      <c r="Q29" s="15"/>
      <c r="R29" s="15"/>
      <c r="S29" s="15"/>
      <c r="T29" s="15" t="s">
        <v>138</v>
      </c>
      <c r="U29" s="15" t="s">
        <v>321</v>
      </c>
      <c r="V29" s="36"/>
      <c r="W29" s="36"/>
      <c r="X29" s="35"/>
      <c r="Y29" s="15"/>
      <c r="Z29" s="36"/>
      <c r="AA29" s="15"/>
      <c r="AB29" s="36"/>
      <c r="AC29" s="15"/>
      <c r="AD29" s="15"/>
      <c r="AE29" s="36" t="s">
        <v>215</v>
      </c>
      <c r="AF29" s="15"/>
      <c r="AG29" s="15"/>
      <c r="AH29" s="35"/>
      <c r="AI29" s="35"/>
      <c r="AJ29" s="35"/>
      <c r="AK29" s="35"/>
      <c r="AL29" s="35"/>
      <c r="AM29" s="35"/>
      <c r="AN29" s="35"/>
      <c r="AO29" s="15"/>
      <c r="AP29" s="36" t="s">
        <v>322</v>
      </c>
      <c r="AQ29" s="15"/>
      <c r="AR29" s="35" t="s">
        <v>323</v>
      </c>
      <c r="AS29" s="35" t="s">
        <v>160</v>
      </c>
      <c r="AT29" s="15"/>
      <c r="AU29" s="15"/>
      <c r="AV29" s="15"/>
      <c r="AW29" s="15"/>
      <c r="AX29" s="15"/>
      <c r="AY29" s="15"/>
      <c r="AZ29" s="15"/>
      <c r="BA29" s="15"/>
      <c r="BB29" s="36"/>
      <c r="BC29" s="36"/>
      <c r="BD29" s="15"/>
      <c r="BE29" s="15"/>
      <c r="BF29" s="15"/>
      <c r="BG29" s="15"/>
      <c r="BH29" s="15"/>
      <c r="BI29" s="15"/>
      <c r="BJ29" s="36"/>
      <c r="BM29" s="36"/>
      <c r="BN29" s="36"/>
      <c r="BO29" s="36"/>
      <c r="BP29" s="36"/>
      <c r="BQ29" s="36"/>
    </row>
    <row r="30" spans="1:69" ht="18" customHeight="1">
      <c r="A30" s="27" t="s">
        <v>324</v>
      </c>
      <c r="B30" s="118">
        <v>5285</v>
      </c>
      <c r="C30" s="118"/>
      <c r="D30" s="36" t="s">
        <v>325</v>
      </c>
      <c r="E30" s="36" t="s">
        <v>326</v>
      </c>
      <c r="F30" s="36"/>
      <c r="G30" s="36" t="s">
        <v>179</v>
      </c>
      <c r="H30" s="35" t="s">
        <v>211</v>
      </c>
      <c r="I30" s="35"/>
      <c r="J30" s="36"/>
      <c r="K30" s="36"/>
      <c r="L30" s="35"/>
      <c r="M30" s="36"/>
      <c r="N30" s="15" t="s">
        <v>223</v>
      </c>
      <c r="O30" s="119" t="s">
        <v>309</v>
      </c>
      <c r="P30" s="36"/>
      <c r="Q30" s="15" t="s">
        <v>327</v>
      </c>
      <c r="R30" s="15"/>
      <c r="S30" s="15"/>
      <c r="T30" s="15" t="s">
        <v>138</v>
      </c>
      <c r="U30" s="15" t="s">
        <v>328</v>
      </c>
      <c r="V30" s="36"/>
      <c r="W30" s="36"/>
      <c r="X30" s="35"/>
      <c r="Y30" s="15"/>
      <c r="Z30" s="36"/>
      <c r="AA30" s="15"/>
      <c r="AB30" s="36"/>
      <c r="AC30" s="15"/>
      <c r="AD30" s="15"/>
      <c r="AE30" s="36" t="s">
        <v>150</v>
      </c>
      <c r="AF30" s="15"/>
      <c r="AG30" s="15"/>
      <c r="AH30" s="35"/>
      <c r="AI30" s="35"/>
      <c r="AJ30" s="35"/>
      <c r="AK30" s="35"/>
      <c r="AL30" s="35"/>
      <c r="AM30" s="35"/>
      <c r="AN30" s="35"/>
      <c r="AO30" s="15"/>
      <c r="AP30" s="36" t="s">
        <v>329</v>
      </c>
      <c r="AQ30" s="15"/>
      <c r="AR30" s="35" t="s">
        <v>173</v>
      </c>
      <c r="AS30" s="35" t="s">
        <v>217</v>
      </c>
      <c r="AT30" s="15"/>
      <c r="AU30" s="15"/>
      <c r="AV30" s="15"/>
      <c r="AW30" s="15"/>
      <c r="AX30" s="15"/>
      <c r="AY30" s="15"/>
      <c r="AZ30" s="15"/>
      <c r="BA30" s="15"/>
      <c r="BB30" s="36"/>
      <c r="BC30" s="36"/>
      <c r="BD30" s="15"/>
      <c r="BE30" s="15"/>
      <c r="BF30" s="15"/>
      <c r="BG30" s="15"/>
      <c r="BH30" s="15"/>
      <c r="BI30" s="15"/>
      <c r="BJ30" s="36"/>
      <c r="BM30" s="36"/>
      <c r="BN30" s="36"/>
      <c r="BO30" s="36"/>
      <c r="BP30" s="36"/>
      <c r="BQ30" s="36"/>
    </row>
    <row r="31" spans="1:69" ht="18" customHeight="1">
      <c r="A31" s="27" t="s">
        <v>330</v>
      </c>
      <c r="B31" s="118">
        <v>5290</v>
      </c>
      <c r="C31" s="118"/>
      <c r="D31" s="36" t="s">
        <v>331</v>
      </c>
      <c r="E31" s="36" t="s">
        <v>332</v>
      </c>
      <c r="F31" s="36" t="s">
        <v>9</v>
      </c>
      <c r="G31" s="36" t="s">
        <v>179</v>
      </c>
      <c r="H31" s="35" t="s">
        <v>211</v>
      </c>
      <c r="I31" s="35"/>
      <c r="J31" s="36" t="s">
        <v>308</v>
      </c>
      <c r="K31" s="36"/>
      <c r="L31" s="35"/>
      <c r="M31" s="36"/>
      <c r="N31" s="15" t="s">
        <v>223</v>
      </c>
      <c r="O31" s="119" t="s">
        <v>309</v>
      </c>
      <c r="P31" s="36"/>
      <c r="Q31" s="15"/>
      <c r="R31" s="15"/>
      <c r="S31" s="15"/>
      <c r="T31" s="15" t="s">
        <v>150</v>
      </c>
      <c r="U31" s="15" t="s">
        <v>333</v>
      </c>
      <c r="V31" s="36"/>
      <c r="W31" s="36"/>
      <c r="X31" s="35"/>
      <c r="Y31" s="15"/>
      <c r="Z31" s="36"/>
      <c r="AA31" s="15"/>
      <c r="AB31" s="36"/>
      <c r="AC31" s="15"/>
      <c r="AD31" s="15"/>
      <c r="AE31" s="36"/>
      <c r="AF31" s="15"/>
      <c r="AG31" s="15"/>
      <c r="AH31" s="35"/>
      <c r="AI31" s="35"/>
      <c r="AJ31" s="35"/>
      <c r="AK31" s="35"/>
      <c r="AL31" s="35"/>
      <c r="AM31" s="35"/>
      <c r="AN31" s="35"/>
      <c r="AO31" s="15"/>
      <c r="AP31" s="36"/>
      <c r="AQ31" s="15"/>
      <c r="AR31" s="35" t="s">
        <v>312</v>
      </c>
      <c r="AS31" s="35" t="s">
        <v>160</v>
      </c>
      <c r="AT31" s="15"/>
      <c r="AU31" s="15"/>
      <c r="AV31" s="15"/>
      <c r="AW31" s="15"/>
      <c r="AX31" s="15"/>
      <c r="AY31" s="15"/>
      <c r="AZ31" s="15"/>
      <c r="BA31" s="15"/>
      <c r="BB31" s="36"/>
      <c r="BC31" s="36"/>
      <c r="BD31" s="15"/>
      <c r="BE31" s="15"/>
      <c r="BF31" s="15"/>
      <c r="BG31" s="15"/>
      <c r="BH31" s="15"/>
      <c r="BI31" s="15"/>
      <c r="BJ31" s="36"/>
      <c r="BM31" s="36"/>
      <c r="BN31" s="36"/>
      <c r="BO31" s="36"/>
      <c r="BP31" s="36"/>
      <c r="BQ31" s="36"/>
    </row>
    <row r="32" spans="1:69" ht="18" customHeight="1">
      <c r="A32" s="27" t="s">
        <v>334</v>
      </c>
      <c r="B32" s="118">
        <v>5296</v>
      </c>
      <c r="C32" s="118"/>
      <c r="D32" s="36" t="s">
        <v>335</v>
      </c>
      <c r="E32" s="36" t="s">
        <v>336</v>
      </c>
      <c r="F32" s="36" t="s">
        <v>9</v>
      </c>
      <c r="G32" s="36" t="s">
        <v>179</v>
      </c>
      <c r="H32" s="35" t="s">
        <v>211</v>
      </c>
      <c r="I32" s="35"/>
      <c r="J32" s="36" t="s">
        <v>308</v>
      </c>
      <c r="K32" s="36"/>
      <c r="L32" s="35"/>
      <c r="M32" s="36"/>
      <c r="N32" s="15" t="s">
        <v>223</v>
      </c>
      <c r="O32" s="119" t="s">
        <v>309</v>
      </c>
      <c r="P32" s="36"/>
      <c r="Q32" s="15" t="s">
        <v>337</v>
      </c>
      <c r="R32" s="15"/>
      <c r="S32" s="15"/>
      <c r="T32" s="15" t="s">
        <v>138</v>
      </c>
      <c r="U32" s="15" t="s">
        <v>338</v>
      </c>
      <c r="V32" s="36"/>
      <c r="W32" s="36"/>
      <c r="X32" s="35"/>
      <c r="Y32" s="15"/>
      <c r="Z32" s="36"/>
      <c r="AA32" s="15"/>
      <c r="AB32" s="36"/>
      <c r="AC32" s="15"/>
      <c r="AD32" s="15"/>
      <c r="AE32" s="36" t="s">
        <v>150</v>
      </c>
      <c r="AF32" s="15"/>
      <c r="AG32" s="15"/>
      <c r="AH32" s="35"/>
      <c r="AI32" s="35"/>
      <c r="AJ32" s="35"/>
      <c r="AK32" s="35"/>
      <c r="AL32" s="35"/>
      <c r="AM32" s="35"/>
      <c r="AN32" s="35"/>
      <c r="AO32" s="15"/>
      <c r="AP32" s="36" t="s">
        <v>316</v>
      </c>
      <c r="AQ32" s="15"/>
      <c r="AR32" s="35" t="s">
        <v>312</v>
      </c>
      <c r="AS32" s="35" t="s">
        <v>160</v>
      </c>
      <c r="AT32" s="15"/>
      <c r="AU32" s="15"/>
      <c r="AV32" s="15"/>
      <c r="AW32" s="15"/>
      <c r="AX32" s="15"/>
      <c r="AY32" s="15"/>
      <c r="AZ32" s="15"/>
      <c r="BA32" s="15"/>
      <c r="BB32" s="36"/>
      <c r="BC32" s="36"/>
      <c r="BD32" s="15"/>
      <c r="BE32" s="15"/>
      <c r="BF32" s="15"/>
      <c r="BG32" s="15"/>
      <c r="BH32" s="15"/>
      <c r="BI32" s="15"/>
      <c r="BJ32" s="36"/>
      <c r="BM32" s="36"/>
      <c r="BN32" s="36"/>
      <c r="BO32" s="36"/>
      <c r="BP32" s="36"/>
      <c r="BQ32" s="36"/>
    </row>
    <row r="33" spans="1:69" ht="18" customHeight="1">
      <c r="A33" s="27" t="s">
        <v>339</v>
      </c>
      <c r="B33" s="118">
        <v>5306</v>
      </c>
      <c r="C33" s="118"/>
      <c r="D33" s="36" t="s">
        <v>340</v>
      </c>
      <c r="E33" s="36" t="s">
        <v>341</v>
      </c>
      <c r="F33" s="36" t="s">
        <v>221</v>
      </c>
      <c r="G33" s="36" t="s">
        <v>179</v>
      </c>
      <c r="H33" s="35" t="s">
        <v>211</v>
      </c>
      <c r="I33" s="35"/>
      <c r="J33" s="36" t="s">
        <v>308</v>
      </c>
      <c r="K33" s="36"/>
      <c r="L33" s="35"/>
      <c r="M33" s="36"/>
      <c r="N33" s="15" t="s">
        <v>223</v>
      </c>
      <c r="O33" s="119" t="s">
        <v>309</v>
      </c>
      <c r="P33" s="36"/>
      <c r="Q33" s="15" t="s">
        <v>342</v>
      </c>
      <c r="R33" s="15"/>
      <c r="S33" s="15"/>
      <c r="T33" s="15" t="s">
        <v>138</v>
      </c>
      <c r="U33" s="15" t="s">
        <v>343</v>
      </c>
      <c r="V33" s="36"/>
      <c r="W33" s="36"/>
      <c r="X33" s="35"/>
      <c r="Y33" s="15"/>
      <c r="Z33" s="36"/>
      <c r="AA33" s="15"/>
      <c r="AB33" s="36"/>
      <c r="AC33" s="15"/>
      <c r="AD33" s="15"/>
      <c r="AE33" s="36" t="s">
        <v>138</v>
      </c>
      <c r="AF33" s="15"/>
      <c r="AG33" s="15"/>
      <c r="AH33" s="35"/>
      <c r="AI33" s="35"/>
      <c r="AJ33" s="35"/>
      <c r="AK33" s="35"/>
      <c r="AL33" s="35"/>
      <c r="AM33" s="35"/>
      <c r="AN33" s="35"/>
      <c r="AO33" s="15"/>
      <c r="AP33" s="36" t="s">
        <v>340</v>
      </c>
      <c r="AQ33" s="15"/>
      <c r="AR33" s="35" t="s">
        <v>344</v>
      </c>
      <c r="AS33" s="35" t="s">
        <v>160</v>
      </c>
      <c r="AT33" s="15"/>
      <c r="AU33" s="15"/>
      <c r="AV33" s="15"/>
      <c r="AW33" s="15"/>
      <c r="AX33" s="15"/>
      <c r="AY33" s="15"/>
      <c r="AZ33" s="15"/>
      <c r="BA33" s="15"/>
      <c r="BB33" s="36"/>
      <c r="BC33" s="36"/>
      <c r="BD33" s="15"/>
      <c r="BE33" s="15"/>
      <c r="BF33" s="15"/>
      <c r="BG33" s="15"/>
      <c r="BH33" s="15"/>
      <c r="BI33" s="15"/>
      <c r="BJ33" s="36"/>
      <c r="BM33" s="36"/>
      <c r="BN33" s="36"/>
      <c r="BO33" s="36"/>
      <c r="BP33" s="36"/>
      <c r="BQ33" s="36"/>
    </row>
    <row r="34" spans="1:69" ht="18" customHeight="1">
      <c r="A34" s="27" t="s">
        <v>345</v>
      </c>
      <c r="B34" s="118">
        <v>5307</v>
      </c>
      <c r="C34" s="118"/>
      <c r="D34" s="36" t="s">
        <v>346</v>
      </c>
      <c r="E34" s="36" t="s">
        <v>347</v>
      </c>
      <c r="F34" s="36" t="s">
        <v>221</v>
      </c>
      <c r="G34" s="36" t="s">
        <v>179</v>
      </c>
      <c r="H34" s="35" t="s">
        <v>211</v>
      </c>
      <c r="I34" s="35"/>
      <c r="J34" s="36" t="s">
        <v>308</v>
      </c>
      <c r="K34" s="36"/>
      <c r="L34" s="35"/>
      <c r="M34" s="36"/>
      <c r="N34" s="15" t="s">
        <v>223</v>
      </c>
      <c r="O34" s="119" t="s">
        <v>309</v>
      </c>
      <c r="P34" s="36"/>
      <c r="Q34" s="15" t="s">
        <v>342</v>
      </c>
      <c r="R34" s="15"/>
      <c r="S34" s="15"/>
      <c r="T34" s="15" t="s">
        <v>138</v>
      </c>
      <c r="U34" s="15" t="s">
        <v>348</v>
      </c>
      <c r="V34" s="36"/>
      <c r="W34" s="36"/>
      <c r="X34" s="35"/>
      <c r="Y34" s="15"/>
      <c r="Z34" s="36"/>
      <c r="AA34" s="15"/>
      <c r="AB34" s="36"/>
      <c r="AC34" s="15"/>
      <c r="AD34" s="15"/>
      <c r="AE34" s="36" t="s">
        <v>138</v>
      </c>
      <c r="AF34" s="15"/>
      <c r="AG34" s="15"/>
      <c r="AH34" s="35"/>
      <c r="AI34" s="35"/>
      <c r="AJ34" s="35"/>
      <c r="AK34" s="35"/>
      <c r="AL34" s="35"/>
      <c r="AM34" s="35"/>
      <c r="AN34" s="35"/>
      <c r="AO34" s="15"/>
      <c r="AP34" s="36" t="s">
        <v>346</v>
      </c>
      <c r="AQ34" s="15"/>
      <c r="AR34" s="35" t="s">
        <v>349</v>
      </c>
      <c r="AS34" s="35" t="s">
        <v>160</v>
      </c>
      <c r="AT34" s="15"/>
      <c r="AU34" s="15"/>
      <c r="AV34" s="15"/>
      <c r="AW34" s="15"/>
      <c r="AX34" s="15"/>
      <c r="AY34" s="15"/>
      <c r="AZ34" s="15"/>
      <c r="BA34" s="15"/>
      <c r="BB34" s="36"/>
      <c r="BC34" s="36"/>
      <c r="BD34" s="15"/>
      <c r="BE34" s="15"/>
      <c r="BF34" s="15"/>
      <c r="BG34" s="15"/>
      <c r="BH34" s="15"/>
      <c r="BI34" s="15"/>
      <c r="BJ34" s="36"/>
      <c r="BM34" s="36"/>
      <c r="BN34" s="36"/>
      <c r="BO34" s="36"/>
      <c r="BP34" s="36"/>
      <c r="BQ34" s="36"/>
    </row>
    <row r="35" spans="1:69" ht="18" customHeight="1">
      <c r="A35" s="27" t="s">
        <v>350</v>
      </c>
      <c r="B35" s="118">
        <v>5308</v>
      </c>
      <c r="C35" s="118"/>
      <c r="D35" s="36" t="s">
        <v>351</v>
      </c>
      <c r="E35" s="36" t="s">
        <v>352</v>
      </c>
      <c r="F35" s="36"/>
      <c r="G35" s="36" t="s">
        <v>179</v>
      </c>
      <c r="H35" s="35" t="s">
        <v>211</v>
      </c>
      <c r="I35" s="35"/>
      <c r="J35" s="36"/>
      <c r="K35" s="36"/>
      <c r="L35" s="35"/>
      <c r="M35" s="36"/>
      <c r="N35" s="15" t="s">
        <v>223</v>
      </c>
      <c r="O35" s="119" t="s">
        <v>309</v>
      </c>
      <c r="P35" s="36"/>
      <c r="Q35" s="15" t="s">
        <v>353</v>
      </c>
      <c r="R35" s="15"/>
      <c r="S35" s="15"/>
      <c r="T35" s="15" t="s">
        <v>138</v>
      </c>
      <c r="U35" s="15" t="s">
        <v>354</v>
      </c>
      <c r="V35" s="36"/>
      <c r="W35" s="36"/>
      <c r="X35" s="35"/>
      <c r="Y35" s="15"/>
      <c r="Z35" s="36"/>
      <c r="AA35" s="15"/>
      <c r="AB35" s="36"/>
      <c r="AC35" s="15"/>
      <c r="AD35" s="15"/>
      <c r="AE35" s="36"/>
      <c r="AF35" s="15"/>
      <c r="AG35" s="15"/>
      <c r="AH35" s="35"/>
      <c r="AI35" s="35"/>
      <c r="AJ35" s="35"/>
      <c r="AK35" s="35"/>
      <c r="AL35" s="35"/>
      <c r="AM35" s="35"/>
      <c r="AN35" s="35"/>
      <c r="AO35" s="15"/>
      <c r="AP35" s="36" t="s">
        <v>355</v>
      </c>
      <c r="AQ35" s="15"/>
      <c r="AR35" s="35" t="s">
        <v>216</v>
      </c>
      <c r="AS35" s="35" t="s">
        <v>217</v>
      </c>
      <c r="AT35" s="15"/>
      <c r="AU35" s="15"/>
      <c r="AV35" s="15"/>
      <c r="AW35" s="15"/>
      <c r="AX35" s="15"/>
      <c r="AY35" s="15"/>
      <c r="AZ35" s="15"/>
      <c r="BA35" s="15"/>
      <c r="BB35" s="36"/>
      <c r="BC35" s="36"/>
      <c r="BD35" s="15"/>
      <c r="BE35" s="15"/>
      <c r="BF35" s="15"/>
      <c r="BG35" s="15"/>
      <c r="BH35" s="15"/>
      <c r="BI35" s="15"/>
      <c r="BJ35" s="36"/>
      <c r="BM35" s="36"/>
      <c r="BN35" s="36"/>
      <c r="BO35" s="36"/>
      <c r="BP35" s="36"/>
      <c r="BQ35" s="36"/>
    </row>
    <row r="36" spans="1:69" ht="18" customHeight="1">
      <c r="A36" s="27" t="s">
        <v>356</v>
      </c>
      <c r="B36" s="118">
        <v>5309</v>
      </c>
      <c r="C36" s="118"/>
      <c r="D36" s="36" t="s">
        <v>357</v>
      </c>
      <c r="E36" s="36" t="s">
        <v>358</v>
      </c>
      <c r="F36" s="36"/>
      <c r="G36" s="36" t="s">
        <v>179</v>
      </c>
      <c r="H36" s="35" t="s">
        <v>211</v>
      </c>
      <c r="I36" s="35"/>
      <c r="J36" s="36"/>
      <c r="K36" s="36"/>
      <c r="L36" s="35"/>
      <c r="M36" s="36"/>
      <c r="N36" s="15" t="s">
        <v>212</v>
      </c>
      <c r="O36" s="119" t="s">
        <v>309</v>
      </c>
      <c r="P36" s="36"/>
      <c r="Q36" s="15"/>
      <c r="R36" s="15"/>
      <c r="S36" s="15"/>
      <c r="T36" s="15" t="s">
        <v>150</v>
      </c>
      <c r="U36" s="15" t="s">
        <v>359</v>
      </c>
      <c r="V36" s="36"/>
      <c r="W36" s="36"/>
      <c r="X36" s="35"/>
      <c r="Y36" s="15"/>
      <c r="Z36" s="36"/>
      <c r="AA36" s="15"/>
      <c r="AB36" s="36"/>
      <c r="AC36" s="15"/>
      <c r="AD36" s="15"/>
      <c r="AE36" s="36"/>
      <c r="AF36" s="15"/>
      <c r="AG36" s="15"/>
      <c r="AH36" s="35"/>
      <c r="AI36" s="35"/>
      <c r="AJ36" s="35"/>
      <c r="AK36" s="35"/>
      <c r="AL36" s="35"/>
      <c r="AM36" s="35"/>
      <c r="AN36" s="35"/>
      <c r="AO36" s="15"/>
      <c r="AP36" s="36"/>
      <c r="AQ36" s="15"/>
      <c r="AR36" s="35" t="s">
        <v>216</v>
      </c>
      <c r="AS36" s="35" t="s">
        <v>216</v>
      </c>
      <c r="AT36" s="15"/>
      <c r="AU36" s="15"/>
      <c r="AV36" s="15"/>
      <c r="AW36" s="15"/>
      <c r="AX36" s="15"/>
      <c r="AY36" s="15"/>
      <c r="AZ36" s="15"/>
      <c r="BA36" s="15"/>
      <c r="BB36" s="36"/>
      <c r="BC36" s="36"/>
      <c r="BD36" s="15"/>
      <c r="BE36" s="15"/>
      <c r="BF36" s="15"/>
      <c r="BG36" s="15"/>
      <c r="BH36" s="15"/>
      <c r="BI36" s="15"/>
      <c r="BJ36" s="36"/>
      <c r="BM36" s="36"/>
      <c r="BN36" s="36"/>
      <c r="BO36" s="36"/>
      <c r="BP36" s="36"/>
      <c r="BQ36" s="36"/>
    </row>
    <row r="37" spans="1:69" ht="18" customHeight="1">
      <c r="A37" s="27" t="s">
        <v>360</v>
      </c>
      <c r="B37" s="118">
        <v>5385</v>
      </c>
      <c r="C37" s="118"/>
      <c r="D37" s="36" t="s">
        <v>361</v>
      </c>
      <c r="E37" s="36" t="s">
        <v>362</v>
      </c>
      <c r="F37" s="36"/>
      <c r="G37" s="36" t="s">
        <v>179</v>
      </c>
      <c r="H37" s="35" t="s">
        <v>211</v>
      </c>
      <c r="I37" s="35"/>
      <c r="J37" s="36"/>
      <c r="K37" s="36"/>
      <c r="L37" s="35"/>
      <c r="M37" s="36"/>
      <c r="N37" s="15" t="s">
        <v>212</v>
      </c>
      <c r="O37" s="119" t="s">
        <v>184</v>
      </c>
      <c r="P37" s="36"/>
      <c r="Q37" s="15" t="s">
        <v>363</v>
      </c>
      <c r="R37" s="15"/>
      <c r="S37" s="15"/>
      <c r="T37" s="15" t="s">
        <v>138</v>
      </c>
      <c r="U37" s="15" t="s">
        <v>364</v>
      </c>
      <c r="V37" s="36"/>
      <c r="W37" s="36"/>
      <c r="X37" s="35"/>
      <c r="Y37" s="15"/>
      <c r="Z37" s="36"/>
      <c r="AA37" s="15"/>
      <c r="AB37" s="36"/>
      <c r="AC37" s="15"/>
      <c r="AD37" s="15"/>
      <c r="AE37" s="36" t="s">
        <v>150</v>
      </c>
      <c r="AF37" s="15"/>
      <c r="AG37" s="15"/>
      <c r="AH37" s="35"/>
      <c r="AI37" s="35"/>
      <c r="AJ37" s="35"/>
      <c r="AK37" s="35"/>
      <c r="AL37" s="35"/>
      <c r="AM37" s="35"/>
      <c r="AN37" s="35"/>
      <c r="AO37" s="15"/>
      <c r="AP37" s="36" t="s">
        <v>365</v>
      </c>
      <c r="AQ37" s="15"/>
      <c r="AR37" s="35" t="s">
        <v>366</v>
      </c>
      <c r="AS37" s="35" t="s">
        <v>160</v>
      </c>
      <c r="AT37" s="15"/>
      <c r="AU37" s="15"/>
      <c r="AV37" s="15"/>
      <c r="AW37" s="15"/>
      <c r="AX37" s="15"/>
      <c r="AY37" s="15"/>
      <c r="AZ37" s="15"/>
      <c r="BA37" s="15"/>
      <c r="BB37" s="36"/>
      <c r="BC37" s="36"/>
      <c r="BD37" s="15"/>
      <c r="BE37" s="15"/>
      <c r="BF37" s="15"/>
      <c r="BG37" s="15"/>
      <c r="BH37" s="15"/>
      <c r="BI37" s="15"/>
      <c r="BJ37" s="36"/>
      <c r="BM37" s="36"/>
      <c r="BN37" s="36"/>
      <c r="BO37" s="36"/>
      <c r="BP37" s="36"/>
      <c r="BQ37" s="36"/>
    </row>
    <row r="38" spans="1:69" ht="18" customHeight="1">
      <c r="A38" s="27" t="s">
        <v>367</v>
      </c>
      <c r="B38" s="118">
        <v>5390</v>
      </c>
      <c r="C38" s="118"/>
      <c r="D38" s="36" t="s">
        <v>368</v>
      </c>
      <c r="E38" s="36" t="s">
        <v>369</v>
      </c>
      <c r="F38" s="36"/>
      <c r="G38" s="36" t="s">
        <v>179</v>
      </c>
      <c r="H38" s="35" t="s">
        <v>211</v>
      </c>
      <c r="I38" s="35"/>
      <c r="J38" s="36"/>
      <c r="K38" s="36"/>
      <c r="L38" s="35"/>
      <c r="M38" s="36"/>
      <c r="N38" s="15" t="s">
        <v>212</v>
      </c>
      <c r="O38" s="119" t="s">
        <v>184</v>
      </c>
      <c r="P38" s="36"/>
      <c r="Q38" s="15" t="s">
        <v>370</v>
      </c>
      <c r="R38" s="15"/>
      <c r="S38" s="15"/>
      <c r="T38" s="15" t="s">
        <v>138</v>
      </c>
      <c r="U38" s="15" t="s">
        <v>371</v>
      </c>
      <c r="V38" s="36"/>
      <c r="W38" s="36"/>
      <c r="X38" s="35"/>
      <c r="Y38" s="15"/>
      <c r="Z38" s="36"/>
      <c r="AA38" s="15"/>
      <c r="AB38" s="36"/>
      <c r="AC38" s="15"/>
      <c r="AD38" s="15"/>
      <c r="AE38" s="36"/>
      <c r="AF38" s="15"/>
      <c r="AG38" s="15"/>
      <c r="AH38" s="35"/>
      <c r="AI38" s="35"/>
      <c r="AJ38" s="35"/>
      <c r="AK38" s="35"/>
      <c r="AL38" s="35"/>
      <c r="AM38" s="35"/>
      <c r="AN38" s="35"/>
      <c r="AO38" s="15"/>
      <c r="AP38" s="36" t="s">
        <v>372</v>
      </c>
      <c r="AQ38" s="15"/>
      <c r="AR38" s="35" t="s">
        <v>216</v>
      </c>
      <c r="AS38" s="35" t="s">
        <v>217</v>
      </c>
      <c r="AT38" s="15"/>
      <c r="AU38" s="15"/>
      <c r="AV38" s="15"/>
      <c r="AW38" s="15"/>
      <c r="AX38" s="15"/>
      <c r="AY38" s="15"/>
      <c r="AZ38" s="15"/>
      <c r="BA38" s="15"/>
      <c r="BB38" s="36"/>
      <c r="BC38" s="36"/>
      <c r="BD38" s="15"/>
      <c r="BE38" s="15"/>
      <c r="BF38" s="15"/>
      <c r="BG38" s="15"/>
      <c r="BH38" s="15"/>
      <c r="BI38" s="15"/>
      <c r="BJ38" s="36"/>
      <c r="BM38" s="36"/>
      <c r="BN38" s="36"/>
      <c r="BO38" s="36"/>
      <c r="BP38" s="36"/>
      <c r="BQ38" s="36"/>
    </row>
    <row r="39" spans="1:69" ht="18" customHeight="1">
      <c r="A39" s="27" t="s">
        <v>373</v>
      </c>
      <c r="B39" s="118">
        <v>5408</v>
      </c>
      <c r="C39" s="118"/>
      <c r="D39" s="36" t="s">
        <v>374</v>
      </c>
      <c r="E39" s="36" t="s">
        <v>375</v>
      </c>
      <c r="F39" s="36"/>
      <c r="G39" s="36" t="s">
        <v>179</v>
      </c>
      <c r="H39" s="35" t="s">
        <v>211</v>
      </c>
      <c r="I39" s="35"/>
      <c r="J39" s="36"/>
      <c r="K39" s="36"/>
      <c r="L39" s="35"/>
      <c r="M39" s="36"/>
      <c r="N39" s="15" t="s">
        <v>223</v>
      </c>
      <c r="O39" s="119" t="s">
        <v>309</v>
      </c>
      <c r="P39" s="36"/>
      <c r="Q39" s="15" t="s">
        <v>342</v>
      </c>
      <c r="R39" s="15"/>
      <c r="S39" s="15"/>
      <c r="T39" s="15" t="s">
        <v>138</v>
      </c>
      <c r="U39" s="15" t="s">
        <v>376</v>
      </c>
      <c r="V39" s="36"/>
      <c r="W39" s="36"/>
      <c r="X39" s="35"/>
      <c r="Y39" s="15"/>
      <c r="Z39" s="36"/>
      <c r="AA39" s="15"/>
      <c r="AB39" s="36"/>
      <c r="AC39" s="15"/>
      <c r="AD39" s="15"/>
      <c r="AE39" s="36"/>
      <c r="AF39" s="15"/>
      <c r="AG39" s="15"/>
      <c r="AH39" s="35"/>
      <c r="AI39" s="35"/>
      <c r="AJ39" s="35"/>
      <c r="AK39" s="35"/>
      <c r="AL39" s="35"/>
      <c r="AM39" s="35"/>
      <c r="AN39" s="35"/>
      <c r="AO39" s="15"/>
      <c r="AP39" s="36" t="s">
        <v>372</v>
      </c>
      <c r="AQ39" s="15"/>
      <c r="AR39" s="35" t="s">
        <v>216</v>
      </c>
      <c r="AS39" s="35" t="s">
        <v>217</v>
      </c>
      <c r="AT39" s="15"/>
      <c r="AU39" s="15"/>
      <c r="AV39" s="15"/>
      <c r="AW39" s="15"/>
      <c r="AX39" s="15"/>
      <c r="AY39" s="15"/>
      <c r="AZ39" s="15"/>
      <c r="BA39" s="15"/>
      <c r="BB39" s="36"/>
      <c r="BC39" s="36"/>
      <c r="BD39" s="15"/>
      <c r="BE39" s="15"/>
      <c r="BF39" s="15"/>
      <c r="BG39" s="15"/>
      <c r="BH39" s="15"/>
      <c r="BI39" s="15"/>
      <c r="BJ39" s="36"/>
      <c r="BM39" s="36"/>
      <c r="BN39" s="36"/>
      <c r="BO39" s="36"/>
      <c r="BP39" s="36"/>
      <c r="BQ39" s="36"/>
    </row>
    <row r="40" spans="1:69" ht="18" customHeight="1">
      <c r="A40" s="27" t="s">
        <v>377</v>
      </c>
      <c r="B40" s="118">
        <v>5413</v>
      </c>
      <c r="C40" s="118"/>
      <c r="D40" s="36" t="s">
        <v>378</v>
      </c>
      <c r="E40" s="36" t="s">
        <v>379</v>
      </c>
      <c r="F40" s="36"/>
      <c r="G40" s="36" t="s">
        <v>179</v>
      </c>
      <c r="H40" s="35" t="s">
        <v>211</v>
      </c>
      <c r="I40" s="35"/>
      <c r="J40" s="36"/>
      <c r="K40" s="36"/>
      <c r="L40" s="35"/>
      <c r="M40" s="36"/>
      <c r="N40" s="15" t="s">
        <v>212</v>
      </c>
      <c r="O40" s="119" t="s">
        <v>184</v>
      </c>
      <c r="P40" s="36"/>
      <c r="Q40" s="15" t="s">
        <v>342</v>
      </c>
      <c r="R40" s="15"/>
      <c r="S40" s="15"/>
      <c r="T40" s="15" t="s">
        <v>138</v>
      </c>
      <c r="U40" s="15" t="s">
        <v>380</v>
      </c>
      <c r="V40" s="36"/>
      <c r="W40" s="36"/>
      <c r="X40" s="35"/>
      <c r="Y40" s="15"/>
      <c r="Z40" s="36"/>
      <c r="AA40" s="15"/>
      <c r="AB40" s="36"/>
      <c r="AC40" s="15"/>
      <c r="AD40" s="15"/>
      <c r="AE40" s="36" t="s">
        <v>150</v>
      </c>
      <c r="AF40" s="15"/>
      <c r="AG40" s="15"/>
      <c r="AH40" s="35"/>
      <c r="AI40" s="35"/>
      <c r="AJ40" s="35"/>
      <c r="AK40" s="35"/>
      <c r="AL40" s="35"/>
      <c r="AM40" s="35"/>
      <c r="AN40" s="35"/>
      <c r="AO40" s="15"/>
      <c r="AP40" s="36" t="s">
        <v>365</v>
      </c>
      <c r="AQ40" s="15"/>
      <c r="AR40" s="35" t="s">
        <v>366</v>
      </c>
      <c r="AS40" s="35" t="s">
        <v>160</v>
      </c>
      <c r="AT40" s="15"/>
      <c r="AU40" s="15"/>
      <c r="AV40" s="15"/>
      <c r="AW40" s="15"/>
      <c r="AX40" s="15"/>
      <c r="AY40" s="15"/>
      <c r="AZ40" s="15"/>
      <c r="BA40" s="15"/>
      <c r="BB40" s="36"/>
      <c r="BC40" s="36"/>
      <c r="BD40" s="15"/>
      <c r="BE40" s="15"/>
      <c r="BF40" s="15"/>
      <c r="BG40" s="15"/>
      <c r="BH40" s="15"/>
      <c r="BI40" s="15"/>
      <c r="BJ40" s="36"/>
      <c r="BM40" s="36"/>
      <c r="BN40" s="36"/>
      <c r="BO40" s="36"/>
      <c r="BP40" s="36"/>
      <c r="BQ40" s="36"/>
    </row>
    <row r="41" spans="1:69" ht="18" customHeight="1">
      <c r="A41" s="27" t="s">
        <v>381</v>
      </c>
      <c r="B41" s="118">
        <v>5415</v>
      </c>
      <c r="C41" s="118"/>
      <c r="D41" s="36" t="s">
        <v>382</v>
      </c>
      <c r="E41" s="36" t="s">
        <v>383</v>
      </c>
      <c r="F41" s="36"/>
      <c r="G41" s="36" t="s">
        <v>179</v>
      </c>
      <c r="H41" s="35" t="s">
        <v>211</v>
      </c>
      <c r="I41" s="35"/>
      <c r="J41" s="36" t="s">
        <v>384</v>
      </c>
      <c r="K41" s="36"/>
      <c r="L41" s="35"/>
      <c r="M41" s="36"/>
      <c r="N41" s="15" t="s">
        <v>212</v>
      </c>
      <c r="O41" s="119" t="s">
        <v>184</v>
      </c>
      <c r="P41" s="36"/>
      <c r="Q41" s="15" t="s">
        <v>342</v>
      </c>
      <c r="R41" s="15"/>
      <c r="S41" s="15"/>
      <c r="T41" s="15" t="s">
        <v>138</v>
      </c>
      <c r="U41" s="15" t="s">
        <v>385</v>
      </c>
      <c r="V41" s="36"/>
      <c r="W41" s="36"/>
      <c r="X41" s="35"/>
      <c r="Y41" s="15"/>
      <c r="Z41" s="36"/>
      <c r="AA41" s="15"/>
      <c r="AB41" s="36"/>
      <c r="AC41" s="15"/>
      <c r="AD41" s="15"/>
      <c r="AE41" s="36" t="s">
        <v>150</v>
      </c>
      <c r="AF41" s="15"/>
      <c r="AG41" s="15"/>
      <c r="AH41" s="35"/>
      <c r="AI41" s="35"/>
      <c r="AJ41" s="35"/>
      <c r="AK41" s="35"/>
      <c r="AL41" s="35"/>
      <c r="AM41" s="35"/>
      <c r="AN41" s="35"/>
      <c r="AO41" s="15"/>
      <c r="AP41" s="36" t="s">
        <v>386</v>
      </c>
      <c r="AQ41" s="15"/>
      <c r="AR41" s="35" t="s">
        <v>387</v>
      </c>
      <c r="AS41" s="35" t="s">
        <v>160</v>
      </c>
      <c r="AT41" s="15"/>
      <c r="AU41" s="15"/>
      <c r="AV41" s="15"/>
      <c r="AW41" s="15"/>
      <c r="AX41" s="15"/>
      <c r="AY41" s="15"/>
      <c r="AZ41" s="15"/>
      <c r="BA41" s="15"/>
      <c r="BB41" s="36"/>
      <c r="BC41" s="36"/>
      <c r="BD41" s="15"/>
      <c r="BE41" s="15"/>
      <c r="BF41" s="15"/>
      <c r="BG41" s="15"/>
      <c r="BH41" s="15"/>
      <c r="BI41" s="15"/>
      <c r="BJ41" s="36"/>
      <c r="BM41" s="36"/>
      <c r="BN41" s="36"/>
      <c r="BO41" s="36"/>
      <c r="BP41" s="36"/>
      <c r="BQ41" s="36"/>
    </row>
    <row r="42" spans="1:69" ht="18" customHeight="1">
      <c r="A42" s="27" t="s">
        <v>388</v>
      </c>
      <c r="B42" s="118">
        <v>5426</v>
      </c>
      <c r="C42" s="118"/>
      <c r="D42" s="36" t="s">
        <v>389</v>
      </c>
      <c r="E42" s="36" t="s">
        <v>390</v>
      </c>
      <c r="F42" s="36"/>
      <c r="G42" s="36" t="s">
        <v>179</v>
      </c>
      <c r="H42" s="35" t="s">
        <v>211</v>
      </c>
      <c r="I42" s="35"/>
      <c r="J42" s="36"/>
      <c r="K42" s="36"/>
      <c r="L42" s="35"/>
      <c r="M42" s="36"/>
      <c r="N42" s="15" t="s">
        <v>223</v>
      </c>
      <c r="O42" s="119" t="s">
        <v>309</v>
      </c>
      <c r="P42" s="36"/>
      <c r="Q42" s="15" t="s">
        <v>391</v>
      </c>
      <c r="R42" s="15"/>
      <c r="S42" s="15"/>
      <c r="T42" s="15" t="s">
        <v>138</v>
      </c>
      <c r="U42" s="15" t="s">
        <v>392</v>
      </c>
      <c r="V42" s="36"/>
      <c r="W42" s="36"/>
      <c r="X42" s="35"/>
      <c r="Y42" s="15"/>
      <c r="Z42" s="36"/>
      <c r="AA42" s="15"/>
      <c r="AB42" s="36"/>
      <c r="AC42" s="15"/>
      <c r="AD42" s="15"/>
      <c r="AE42" s="36" t="s">
        <v>138</v>
      </c>
      <c r="AF42" s="15"/>
      <c r="AG42" s="15"/>
      <c r="AH42" s="35"/>
      <c r="AI42" s="35"/>
      <c r="AJ42" s="35"/>
      <c r="AK42" s="35"/>
      <c r="AL42" s="35"/>
      <c r="AM42" s="35"/>
      <c r="AN42" s="35"/>
      <c r="AO42" s="15"/>
      <c r="AP42" s="36" t="s">
        <v>393</v>
      </c>
      <c r="AQ42" s="15"/>
      <c r="AR42" s="35" t="s">
        <v>216</v>
      </c>
      <c r="AS42" s="35" t="s">
        <v>217</v>
      </c>
      <c r="AT42" s="15"/>
      <c r="AU42" s="15"/>
      <c r="AV42" s="15"/>
      <c r="AW42" s="15"/>
      <c r="AX42" s="15"/>
      <c r="AY42" s="15"/>
      <c r="AZ42" s="15"/>
      <c r="BA42" s="15"/>
      <c r="BB42" s="36"/>
      <c r="BC42" s="36"/>
      <c r="BD42" s="15"/>
      <c r="BE42" s="15"/>
      <c r="BF42" s="15"/>
      <c r="BG42" s="15"/>
      <c r="BH42" s="15"/>
      <c r="BI42" s="15"/>
      <c r="BJ42" s="36"/>
      <c r="BM42" s="36"/>
      <c r="BN42" s="36"/>
      <c r="BO42" s="36"/>
      <c r="BP42" s="36"/>
      <c r="BQ42" s="36"/>
    </row>
    <row r="43" spans="1:69" ht="18" customHeight="1">
      <c r="A43" s="27" t="s">
        <v>394</v>
      </c>
      <c r="B43" s="118">
        <v>5427</v>
      </c>
      <c r="C43" s="118"/>
      <c r="D43" s="36" t="s">
        <v>395</v>
      </c>
      <c r="E43" s="36" t="s">
        <v>396</v>
      </c>
      <c r="F43" s="36"/>
      <c r="G43" s="36" t="s">
        <v>179</v>
      </c>
      <c r="H43" s="35" t="s">
        <v>211</v>
      </c>
      <c r="I43" s="35"/>
      <c r="J43" s="36"/>
      <c r="K43" s="36"/>
      <c r="L43" s="35"/>
      <c r="M43" s="36"/>
      <c r="N43" s="15" t="s">
        <v>223</v>
      </c>
      <c r="O43" s="119" t="s">
        <v>309</v>
      </c>
      <c r="P43" s="36"/>
      <c r="Q43" s="15" t="s">
        <v>342</v>
      </c>
      <c r="R43" s="15"/>
      <c r="S43" s="15"/>
      <c r="T43" s="15" t="s">
        <v>138</v>
      </c>
      <c r="U43" s="15" t="s">
        <v>397</v>
      </c>
      <c r="V43" s="36"/>
      <c r="W43" s="36"/>
      <c r="X43" s="35"/>
      <c r="Y43" s="15"/>
      <c r="Z43" s="36"/>
      <c r="AA43" s="15"/>
      <c r="AB43" s="36"/>
      <c r="AC43" s="15"/>
      <c r="AD43" s="15"/>
      <c r="AE43" s="36" t="s">
        <v>398</v>
      </c>
      <c r="AF43" s="15"/>
      <c r="AG43" s="15"/>
      <c r="AH43" s="35"/>
      <c r="AI43" s="35"/>
      <c r="AJ43" s="35"/>
      <c r="AK43" s="35"/>
      <c r="AL43" s="35"/>
      <c r="AM43" s="35"/>
      <c r="AN43" s="35"/>
      <c r="AO43" s="15"/>
      <c r="AP43" s="36" t="s">
        <v>399</v>
      </c>
      <c r="AQ43" s="15"/>
      <c r="AR43" s="35" t="s">
        <v>216</v>
      </c>
      <c r="AS43" s="35" t="s">
        <v>217</v>
      </c>
      <c r="AT43" s="15"/>
      <c r="AU43" s="15"/>
      <c r="AV43" s="15"/>
      <c r="AW43" s="15"/>
      <c r="AX43" s="15"/>
      <c r="AY43" s="15"/>
      <c r="AZ43" s="15"/>
      <c r="BA43" s="15"/>
      <c r="BB43" s="36"/>
      <c r="BC43" s="36"/>
      <c r="BD43" s="15"/>
      <c r="BE43" s="15"/>
      <c r="BF43" s="15"/>
      <c r="BG43" s="15"/>
      <c r="BH43" s="15"/>
      <c r="BI43" s="15"/>
      <c r="BJ43" s="36"/>
      <c r="BM43" s="36"/>
      <c r="BN43" s="36"/>
      <c r="BO43" s="36"/>
      <c r="BP43" s="36"/>
      <c r="BQ43" s="36"/>
    </row>
    <row r="44" spans="1:69" ht="18" customHeight="1">
      <c r="A44" s="27" t="s">
        <v>400</v>
      </c>
      <c r="B44" s="118">
        <v>5442</v>
      </c>
      <c r="C44" s="118"/>
      <c r="D44" s="36" t="s">
        <v>401</v>
      </c>
      <c r="E44" s="36" t="s">
        <v>402</v>
      </c>
      <c r="F44" s="36"/>
      <c r="G44" s="36" t="s">
        <v>179</v>
      </c>
      <c r="H44" s="35" t="s">
        <v>211</v>
      </c>
      <c r="I44" s="35"/>
      <c r="J44" s="36"/>
      <c r="K44" s="36"/>
      <c r="L44" s="35"/>
      <c r="M44" s="36"/>
      <c r="N44" s="15" t="s">
        <v>212</v>
      </c>
      <c r="O44" s="119" t="s">
        <v>403</v>
      </c>
      <c r="P44" s="36"/>
      <c r="Q44" s="15" t="s">
        <v>404</v>
      </c>
      <c r="R44" s="15"/>
      <c r="S44" s="15"/>
      <c r="T44" s="15" t="s">
        <v>138</v>
      </c>
      <c r="U44" s="15" t="s">
        <v>405</v>
      </c>
      <c r="V44" s="36"/>
      <c r="W44" s="36"/>
      <c r="X44" s="35"/>
      <c r="Y44" s="15"/>
      <c r="Z44" s="36"/>
      <c r="AA44" s="15"/>
      <c r="AB44" s="36"/>
      <c r="AC44" s="15"/>
      <c r="AD44" s="15"/>
      <c r="AE44" s="36" t="s">
        <v>138</v>
      </c>
      <c r="AF44" s="15"/>
      <c r="AG44" s="15"/>
      <c r="AH44" s="35"/>
      <c r="AI44" s="35"/>
      <c r="AJ44" s="35"/>
      <c r="AK44" s="35"/>
      <c r="AL44" s="35"/>
      <c r="AM44" s="35"/>
      <c r="AN44" s="35"/>
      <c r="AO44" s="15"/>
      <c r="AP44" s="36" t="s">
        <v>406</v>
      </c>
      <c r="AQ44" s="15"/>
      <c r="AR44" s="35" t="s">
        <v>216</v>
      </c>
      <c r="AS44" s="35" t="s">
        <v>217</v>
      </c>
      <c r="AT44" s="15"/>
      <c r="AU44" s="15"/>
      <c r="AV44" s="15"/>
      <c r="AW44" s="15"/>
      <c r="AX44" s="15"/>
      <c r="AY44" s="15"/>
      <c r="AZ44" s="15"/>
      <c r="BA44" s="15"/>
      <c r="BB44" s="36"/>
      <c r="BC44" s="36"/>
      <c r="BD44" s="15"/>
      <c r="BE44" s="15"/>
      <c r="BF44" s="15"/>
      <c r="BG44" s="15"/>
      <c r="BH44" s="15"/>
      <c r="BI44" s="15"/>
      <c r="BJ44" s="36"/>
      <c r="BM44" s="36"/>
      <c r="BN44" s="36"/>
      <c r="BO44" s="36"/>
      <c r="BP44" s="36"/>
      <c r="BQ44" s="36"/>
    </row>
    <row r="45" spans="1:69" ht="18" customHeight="1">
      <c r="A45" s="27" t="s">
        <v>407</v>
      </c>
      <c r="B45" s="118">
        <v>5444</v>
      </c>
      <c r="C45" s="118"/>
      <c r="D45" s="36" t="s">
        <v>408</v>
      </c>
      <c r="E45" s="36" t="s">
        <v>409</v>
      </c>
      <c r="F45" s="36"/>
      <c r="G45" s="36" t="s">
        <v>179</v>
      </c>
      <c r="H45" s="35" t="s">
        <v>211</v>
      </c>
      <c r="I45" s="35"/>
      <c r="J45" s="36"/>
      <c r="K45" s="36"/>
      <c r="L45" s="35"/>
      <c r="M45" s="36"/>
      <c r="N45" s="15" t="s">
        <v>223</v>
      </c>
      <c r="O45" s="119" t="s">
        <v>403</v>
      </c>
      <c r="P45" s="36"/>
      <c r="Q45" s="15" t="s">
        <v>342</v>
      </c>
      <c r="R45" s="15"/>
      <c r="S45" s="15"/>
      <c r="T45" s="15" t="s">
        <v>138</v>
      </c>
      <c r="U45" s="15" t="s">
        <v>410</v>
      </c>
      <c r="V45" s="36"/>
      <c r="W45" s="36"/>
      <c r="X45" s="35"/>
      <c r="Y45" s="15"/>
      <c r="Z45" s="36"/>
      <c r="AA45" s="15"/>
      <c r="AB45" s="36"/>
      <c r="AC45" s="15"/>
      <c r="AD45" s="15"/>
      <c r="AE45" s="36" t="s">
        <v>138</v>
      </c>
      <c r="AF45" s="15"/>
      <c r="AG45" s="15"/>
      <c r="AH45" s="35"/>
      <c r="AI45" s="35"/>
      <c r="AJ45" s="35"/>
      <c r="AK45" s="35"/>
      <c r="AL45" s="35"/>
      <c r="AM45" s="35"/>
      <c r="AN45" s="35"/>
      <c r="AO45" s="15"/>
      <c r="AP45" s="36" t="s">
        <v>411</v>
      </c>
      <c r="AQ45" s="15"/>
      <c r="AR45" s="35" t="s">
        <v>216</v>
      </c>
      <c r="AS45" s="35" t="s">
        <v>217</v>
      </c>
      <c r="AT45" s="15"/>
      <c r="AU45" s="15"/>
      <c r="AV45" s="15"/>
      <c r="AW45" s="15"/>
      <c r="AX45" s="15"/>
      <c r="AY45" s="15"/>
      <c r="AZ45" s="15"/>
      <c r="BA45" s="15"/>
      <c r="BB45" s="36"/>
      <c r="BC45" s="36"/>
      <c r="BD45" s="15"/>
      <c r="BE45" s="15"/>
      <c r="BF45" s="15"/>
      <c r="BG45" s="15"/>
      <c r="BH45" s="15"/>
      <c r="BI45" s="15"/>
      <c r="BJ45" s="36"/>
      <c r="BM45" s="36"/>
      <c r="BN45" s="36"/>
      <c r="BO45" s="36"/>
      <c r="BP45" s="36"/>
      <c r="BQ45" s="36"/>
    </row>
    <row r="46" spans="1:69" ht="18" customHeight="1">
      <c r="A46" s="27" t="s">
        <v>412</v>
      </c>
      <c r="B46" s="118">
        <v>5454</v>
      </c>
      <c r="C46" s="118"/>
      <c r="D46" s="36" t="s">
        <v>413</v>
      </c>
      <c r="E46" s="36" t="s">
        <v>414</v>
      </c>
      <c r="F46" s="36"/>
      <c r="G46" s="36" t="s">
        <v>179</v>
      </c>
      <c r="H46" s="35" t="s">
        <v>211</v>
      </c>
      <c r="I46" s="35"/>
      <c r="J46" s="36"/>
      <c r="K46" s="36"/>
      <c r="L46" s="35"/>
      <c r="M46" s="36"/>
      <c r="N46" s="15" t="s">
        <v>212</v>
      </c>
      <c r="O46" s="119" t="s">
        <v>184</v>
      </c>
      <c r="P46" s="36"/>
      <c r="Q46" s="15" t="s">
        <v>342</v>
      </c>
      <c r="R46" s="15"/>
      <c r="S46" s="15"/>
      <c r="T46" s="15" t="s">
        <v>138</v>
      </c>
      <c r="U46" s="15" t="s">
        <v>415</v>
      </c>
      <c r="V46" s="36"/>
      <c r="W46" s="36"/>
      <c r="X46" s="35"/>
      <c r="Y46" s="15"/>
      <c r="Z46" s="36"/>
      <c r="AA46" s="15"/>
      <c r="AB46" s="36"/>
      <c r="AC46" s="15"/>
      <c r="AD46" s="15"/>
      <c r="AE46" s="36" t="s">
        <v>150</v>
      </c>
      <c r="AF46" s="15"/>
      <c r="AG46" s="15"/>
      <c r="AH46" s="35"/>
      <c r="AI46" s="35"/>
      <c r="AJ46" s="35"/>
      <c r="AK46" s="35"/>
      <c r="AL46" s="35"/>
      <c r="AM46" s="35"/>
      <c r="AN46" s="35"/>
      <c r="AO46" s="15"/>
      <c r="AP46" s="36" t="s">
        <v>416</v>
      </c>
      <c r="AQ46" s="15"/>
      <c r="AR46" s="35" t="s">
        <v>417</v>
      </c>
      <c r="AS46" s="35" t="s">
        <v>160</v>
      </c>
      <c r="AT46" s="15"/>
      <c r="AU46" s="15"/>
      <c r="AV46" s="15"/>
      <c r="AW46" s="15"/>
      <c r="AX46" s="15"/>
      <c r="AY46" s="15"/>
      <c r="AZ46" s="15"/>
      <c r="BA46" s="15"/>
      <c r="BB46" s="36"/>
      <c r="BC46" s="36"/>
      <c r="BD46" s="15"/>
      <c r="BE46" s="15"/>
      <c r="BF46" s="15"/>
      <c r="BG46" s="15"/>
      <c r="BH46" s="15"/>
      <c r="BI46" s="15"/>
      <c r="BJ46" s="36"/>
      <c r="BM46" s="36"/>
      <c r="BN46" s="36"/>
      <c r="BO46" s="36"/>
      <c r="BP46" s="36"/>
      <c r="BQ46" s="36"/>
    </row>
    <row r="47" spans="1:69" ht="18" customHeight="1">
      <c r="A47" s="27" t="s">
        <v>418</v>
      </c>
      <c r="B47" s="118">
        <v>5463</v>
      </c>
      <c r="C47" s="118"/>
      <c r="D47" s="36" t="s">
        <v>419</v>
      </c>
      <c r="E47" s="36" t="s">
        <v>420</v>
      </c>
      <c r="F47" s="36"/>
      <c r="G47" s="36" t="s">
        <v>179</v>
      </c>
      <c r="H47" s="35" t="s">
        <v>211</v>
      </c>
      <c r="I47" s="35"/>
      <c r="J47" s="36"/>
      <c r="K47" s="36"/>
      <c r="L47" s="35"/>
      <c r="M47" s="36"/>
      <c r="N47" s="15" t="s">
        <v>223</v>
      </c>
      <c r="O47" s="119" t="s">
        <v>184</v>
      </c>
      <c r="P47" s="36"/>
      <c r="Q47" s="15" t="s">
        <v>421</v>
      </c>
      <c r="R47" s="15"/>
      <c r="S47" s="15"/>
      <c r="T47" s="15" t="s">
        <v>138</v>
      </c>
      <c r="U47" s="15" t="s">
        <v>422</v>
      </c>
      <c r="V47" s="36"/>
      <c r="W47" s="36"/>
      <c r="X47" s="35"/>
      <c r="Y47" s="15"/>
      <c r="Z47" s="36"/>
      <c r="AA47" s="15"/>
      <c r="AB47" s="36"/>
      <c r="AC47" s="15"/>
      <c r="AD47" s="15"/>
      <c r="AE47" s="36" t="s">
        <v>150</v>
      </c>
      <c r="AF47" s="15"/>
      <c r="AG47" s="15"/>
      <c r="AH47" s="35"/>
      <c r="AI47" s="35"/>
      <c r="AJ47" s="35"/>
      <c r="AK47" s="35"/>
      <c r="AL47" s="35"/>
      <c r="AM47" s="35"/>
      <c r="AN47" s="35"/>
      <c r="AO47" s="15"/>
      <c r="AP47" s="36" t="s">
        <v>423</v>
      </c>
      <c r="AQ47" s="15"/>
      <c r="AR47" s="35" t="s">
        <v>216</v>
      </c>
      <c r="AS47" s="35" t="s">
        <v>216</v>
      </c>
      <c r="AT47" s="15"/>
      <c r="AU47" s="15"/>
      <c r="AV47" s="15"/>
      <c r="AW47" s="15"/>
      <c r="AX47" s="15"/>
      <c r="AY47" s="15"/>
      <c r="AZ47" s="15"/>
      <c r="BA47" s="15"/>
      <c r="BB47" s="36"/>
      <c r="BC47" s="36"/>
      <c r="BD47" s="15"/>
      <c r="BE47" s="15"/>
      <c r="BF47" s="15"/>
      <c r="BG47" s="15"/>
      <c r="BH47" s="15"/>
      <c r="BI47" s="15"/>
      <c r="BJ47" s="36"/>
      <c r="BM47" s="36"/>
      <c r="BN47" s="36"/>
      <c r="BO47" s="36"/>
      <c r="BP47" s="36"/>
      <c r="BQ47" s="36"/>
    </row>
    <row r="48" spans="1:69" ht="18" customHeight="1">
      <c r="A48" s="27" t="s">
        <v>424</v>
      </c>
      <c r="B48" s="118">
        <v>5464</v>
      </c>
      <c r="C48" s="118"/>
      <c r="D48" s="36" t="s">
        <v>425</v>
      </c>
      <c r="E48" s="36" t="s">
        <v>426</v>
      </c>
      <c r="F48" s="36"/>
      <c r="G48" s="36" t="s">
        <v>179</v>
      </c>
      <c r="H48" s="35" t="s">
        <v>211</v>
      </c>
      <c r="I48" s="35"/>
      <c r="J48" s="36"/>
      <c r="K48" s="36"/>
      <c r="L48" s="35"/>
      <c r="M48" s="36"/>
      <c r="N48" s="15" t="s">
        <v>223</v>
      </c>
      <c r="O48" s="119" t="s">
        <v>309</v>
      </c>
      <c r="P48" s="36"/>
      <c r="Q48" s="15" t="s">
        <v>427</v>
      </c>
      <c r="R48" s="15"/>
      <c r="S48" s="15"/>
      <c r="T48" s="15" t="s">
        <v>150</v>
      </c>
      <c r="U48" s="15" t="s">
        <v>428</v>
      </c>
      <c r="V48" s="36"/>
      <c r="W48" s="36"/>
      <c r="X48" s="35"/>
      <c r="Y48" s="15"/>
      <c r="Z48" s="36"/>
      <c r="AA48" s="15"/>
      <c r="AB48" s="36"/>
      <c r="AC48" s="15"/>
      <c r="AD48" s="15"/>
      <c r="AE48" s="36" t="s">
        <v>150</v>
      </c>
      <c r="AF48" s="15"/>
      <c r="AG48" s="15"/>
      <c r="AH48" s="35"/>
      <c r="AI48" s="35"/>
      <c r="AJ48" s="35"/>
      <c r="AK48" s="35"/>
      <c r="AL48" s="35"/>
      <c r="AM48" s="35"/>
      <c r="AN48" s="35"/>
      <c r="AO48" s="15"/>
      <c r="AP48" s="36" t="s">
        <v>429</v>
      </c>
      <c r="AQ48" s="15"/>
      <c r="AR48" s="35" t="s">
        <v>216</v>
      </c>
      <c r="AS48" s="35" t="s">
        <v>216</v>
      </c>
      <c r="AT48" s="15"/>
      <c r="AU48" s="15"/>
      <c r="AV48" s="15"/>
      <c r="AW48" s="15"/>
      <c r="AX48" s="15"/>
      <c r="AY48" s="15"/>
      <c r="AZ48" s="15"/>
      <c r="BA48" s="15"/>
      <c r="BB48" s="36"/>
      <c r="BC48" s="36"/>
      <c r="BD48" s="15"/>
      <c r="BE48" s="15"/>
      <c r="BF48" s="15"/>
      <c r="BG48" s="15"/>
      <c r="BH48" s="15"/>
      <c r="BI48" s="15"/>
      <c r="BJ48" s="36"/>
      <c r="BM48" s="36"/>
      <c r="BN48" s="36"/>
      <c r="BO48" s="36"/>
      <c r="BP48" s="36"/>
      <c r="BQ48" s="36"/>
    </row>
    <row r="49" spans="1:69" ht="18" customHeight="1">
      <c r="A49" s="27" t="s">
        <v>430</v>
      </c>
      <c r="B49" s="118">
        <v>5465</v>
      </c>
      <c r="C49" s="118"/>
      <c r="D49" s="36" t="s">
        <v>431</v>
      </c>
      <c r="E49" s="36" t="s">
        <v>432</v>
      </c>
      <c r="F49" s="36"/>
      <c r="G49" s="36" t="s">
        <v>179</v>
      </c>
      <c r="H49" s="35" t="s">
        <v>211</v>
      </c>
      <c r="I49" s="35"/>
      <c r="J49" s="36"/>
      <c r="K49" s="36"/>
      <c r="L49" s="35"/>
      <c r="M49" s="36"/>
      <c r="N49" s="15" t="s">
        <v>212</v>
      </c>
      <c r="O49" s="119" t="s">
        <v>403</v>
      </c>
      <c r="P49" s="36"/>
      <c r="Q49" s="15"/>
      <c r="R49" s="15"/>
      <c r="S49" s="15"/>
      <c r="T49" s="15" t="s">
        <v>138</v>
      </c>
      <c r="U49" s="15" t="s">
        <v>433</v>
      </c>
      <c r="V49" s="36"/>
      <c r="W49" s="36"/>
      <c r="X49" s="35"/>
      <c r="Y49" s="15"/>
      <c r="Z49" s="36"/>
      <c r="AA49" s="15"/>
      <c r="AB49" s="36"/>
      <c r="AC49" s="15"/>
      <c r="AD49" s="15"/>
      <c r="AE49" s="36" t="s">
        <v>150</v>
      </c>
      <c r="AF49" s="15"/>
      <c r="AG49" s="15"/>
      <c r="AH49" s="35"/>
      <c r="AI49" s="35"/>
      <c r="AJ49" s="35"/>
      <c r="AK49" s="35"/>
      <c r="AL49" s="35"/>
      <c r="AM49" s="35"/>
      <c r="AN49" s="35"/>
      <c r="AO49" s="15"/>
      <c r="AP49" s="36" t="s">
        <v>434</v>
      </c>
      <c r="AQ49" s="15"/>
      <c r="AR49" s="35" t="s">
        <v>216</v>
      </c>
      <c r="AS49" s="35" t="s">
        <v>217</v>
      </c>
      <c r="AT49" s="15"/>
      <c r="AU49" s="15"/>
      <c r="AV49" s="15"/>
      <c r="AW49" s="15"/>
      <c r="AX49" s="15"/>
      <c r="AY49" s="15"/>
      <c r="AZ49" s="15"/>
      <c r="BA49" s="15"/>
      <c r="BB49" s="36"/>
      <c r="BC49" s="36"/>
      <c r="BD49" s="15"/>
      <c r="BE49" s="15"/>
      <c r="BF49" s="15"/>
      <c r="BG49" s="15"/>
      <c r="BH49" s="15"/>
      <c r="BI49" s="15"/>
      <c r="BJ49" s="36"/>
      <c r="BM49" s="36"/>
      <c r="BN49" s="36"/>
      <c r="BO49" s="36"/>
      <c r="BP49" s="36"/>
      <c r="BQ49" s="36"/>
    </row>
    <row r="50" spans="1:69" ht="18" customHeight="1">
      <c r="A50" s="27" t="s">
        <v>435</v>
      </c>
      <c r="B50" s="118">
        <v>5478</v>
      </c>
      <c r="C50" s="118"/>
      <c r="D50" s="36" t="s">
        <v>436</v>
      </c>
      <c r="E50" s="36" t="s">
        <v>437</v>
      </c>
      <c r="F50" s="36" t="s">
        <v>438</v>
      </c>
      <c r="G50" s="36" t="s">
        <v>179</v>
      </c>
      <c r="H50" s="35" t="s">
        <v>211</v>
      </c>
      <c r="I50" s="35"/>
      <c r="J50" s="36" t="s">
        <v>439</v>
      </c>
      <c r="K50" s="36"/>
      <c r="L50" s="35"/>
      <c r="M50" s="36"/>
      <c r="N50" s="15" t="s">
        <v>212</v>
      </c>
      <c r="O50" s="119" t="s">
        <v>184</v>
      </c>
      <c r="P50" s="36"/>
      <c r="Q50" s="15" t="s">
        <v>440</v>
      </c>
      <c r="R50" s="15"/>
      <c r="S50" s="15"/>
      <c r="T50" s="15" t="s">
        <v>138</v>
      </c>
      <c r="U50" s="15" t="s">
        <v>441</v>
      </c>
      <c r="V50" s="36"/>
      <c r="W50" s="36"/>
      <c r="X50" s="35"/>
      <c r="Y50" s="15"/>
      <c r="Z50" s="36"/>
      <c r="AA50" s="15"/>
      <c r="AB50" s="36"/>
      <c r="AC50" s="15"/>
      <c r="AD50" s="15"/>
      <c r="AE50" s="36" t="s">
        <v>138</v>
      </c>
      <c r="AF50" s="15"/>
      <c r="AG50" s="15"/>
      <c r="AH50" s="35"/>
      <c r="AI50" s="35"/>
      <c r="AJ50" s="35"/>
      <c r="AK50" s="35"/>
      <c r="AL50" s="35"/>
      <c r="AM50" s="35"/>
      <c r="AN50" s="35"/>
      <c r="AO50" s="15"/>
      <c r="AP50" s="36" t="s">
        <v>386</v>
      </c>
      <c r="AQ50" s="15"/>
      <c r="AR50" s="35" t="s">
        <v>349</v>
      </c>
      <c r="AS50" s="35" t="s">
        <v>160</v>
      </c>
      <c r="AT50" s="15"/>
      <c r="AU50" s="15"/>
      <c r="AV50" s="15"/>
      <c r="AW50" s="15"/>
      <c r="AX50" s="15"/>
      <c r="AY50" s="15"/>
      <c r="AZ50" s="15"/>
      <c r="BA50" s="15"/>
      <c r="BB50" s="36"/>
      <c r="BC50" s="36"/>
      <c r="BD50" s="15"/>
      <c r="BE50" s="15"/>
      <c r="BF50" s="15"/>
      <c r="BG50" s="15"/>
      <c r="BH50" s="15"/>
      <c r="BI50" s="15"/>
      <c r="BJ50" s="36"/>
      <c r="BM50" s="36"/>
      <c r="BN50" s="36"/>
      <c r="BO50" s="36"/>
      <c r="BP50" s="36"/>
      <c r="BQ50" s="36"/>
    </row>
    <row r="51" spans="1:69" ht="18" customHeight="1">
      <c r="A51" s="27" t="s">
        <v>442</v>
      </c>
      <c r="B51" s="118">
        <v>5479</v>
      </c>
      <c r="C51" s="118"/>
      <c r="D51" s="36" t="s">
        <v>443</v>
      </c>
      <c r="E51" s="36" t="s">
        <v>444</v>
      </c>
      <c r="F51" s="36"/>
      <c r="G51" s="36" t="s">
        <v>179</v>
      </c>
      <c r="H51" s="35" t="s">
        <v>211</v>
      </c>
      <c r="I51" s="35"/>
      <c r="J51" s="36"/>
      <c r="K51" s="36"/>
      <c r="L51" s="35"/>
      <c r="M51" s="36"/>
      <c r="N51" s="15" t="s">
        <v>223</v>
      </c>
      <c r="O51" s="119" t="s">
        <v>184</v>
      </c>
      <c r="P51" s="36"/>
      <c r="Q51" s="15" t="s">
        <v>445</v>
      </c>
      <c r="R51" s="15"/>
      <c r="S51" s="15"/>
      <c r="T51" s="15" t="s">
        <v>138</v>
      </c>
      <c r="U51" s="15" t="s">
        <v>446</v>
      </c>
      <c r="V51" s="36"/>
      <c r="W51" s="36"/>
      <c r="X51" s="35"/>
      <c r="Y51" s="15"/>
      <c r="Z51" s="36"/>
      <c r="AA51" s="15"/>
      <c r="AB51" s="36"/>
      <c r="AC51" s="15"/>
      <c r="AD51" s="15"/>
      <c r="AE51" s="36" t="s">
        <v>138</v>
      </c>
      <c r="AF51" s="15"/>
      <c r="AG51" s="15"/>
      <c r="AH51" s="35"/>
      <c r="AI51" s="35"/>
      <c r="AJ51" s="35"/>
      <c r="AK51" s="35"/>
      <c r="AL51" s="35"/>
      <c r="AM51" s="35"/>
      <c r="AN51" s="35"/>
      <c r="AO51" s="15"/>
      <c r="AP51" s="36" t="s">
        <v>215</v>
      </c>
      <c r="AQ51" s="15"/>
      <c r="AR51" s="35" t="s">
        <v>349</v>
      </c>
      <c r="AS51" s="35" t="s">
        <v>160</v>
      </c>
      <c r="AT51" s="15"/>
      <c r="AU51" s="15"/>
      <c r="AV51" s="15"/>
      <c r="AW51" s="15"/>
      <c r="AX51" s="15"/>
      <c r="AY51" s="15"/>
      <c r="AZ51" s="15"/>
      <c r="BA51" s="15"/>
      <c r="BB51" s="36"/>
      <c r="BC51" s="36"/>
      <c r="BD51" s="15"/>
      <c r="BE51" s="15"/>
      <c r="BF51" s="15"/>
      <c r="BG51" s="15"/>
      <c r="BH51" s="15"/>
      <c r="BI51" s="15"/>
      <c r="BJ51" s="36"/>
      <c r="BM51" s="36"/>
      <c r="BN51" s="36"/>
      <c r="BO51" s="36"/>
      <c r="BP51" s="36"/>
      <c r="BQ51" s="36"/>
    </row>
    <row r="52" spans="1:69" ht="18" customHeight="1">
      <c r="A52" s="27" t="s">
        <v>447</v>
      </c>
      <c r="B52" s="118">
        <v>5567</v>
      </c>
      <c r="C52" s="118"/>
      <c r="D52" s="36" t="s">
        <v>448</v>
      </c>
      <c r="E52" s="36" t="s">
        <v>449</v>
      </c>
      <c r="F52" s="36"/>
      <c r="G52" s="36" t="s">
        <v>179</v>
      </c>
      <c r="H52" s="35" t="s">
        <v>211</v>
      </c>
      <c r="I52" s="35"/>
      <c r="J52" s="36"/>
      <c r="K52" s="36"/>
      <c r="L52" s="35"/>
      <c r="M52" s="36"/>
      <c r="N52" s="15" t="s">
        <v>212</v>
      </c>
      <c r="O52" s="119" t="s">
        <v>184</v>
      </c>
      <c r="P52" s="36"/>
      <c r="Q52" s="15" t="s">
        <v>445</v>
      </c>
      <c r="R52" s="15"/>
      <c r="S52" s="15"/>
      <c r="T52" s="15" t="s">
        <v>138</v>
      </c>
      <c r="U52" s="15" t="s">
        <v>450</v>
      </c>
      <c r="V52" s="36"/>
      <c r="W52" s="36"/>
      <c r="X52" s="35"/>
      <c r="Y52" s="15"/>
      <c r="Z52" s="36"/>
      <c r="AA52" s="15"/>
      <c r="AB52" s="36"/>
      <c r="AC52" s="15"/>
      <c r="AD52" s="15"/>
      <c r="AE52" s="36" t="s">
        <v>150</v>
      </c>
      <c r="AF52" s="15"/>
      <c r="AG52" s="15"/>
      <c r="AH52" s="35"/>
      <c r="AI52" s="35"/>
      <c r="AJ52" s="35"/>
      <c r="AK52" s="35"/>
      <c r="AL52" s="35"/>
      <c r="AM52" s="35"/>
      <c r="AN52" s="35"/>
      <c r="AO52" s="15"/>
      <c r="AP52" s="36" t="s">
        <v>451</v>
      </c>
      <c r="AQ52" s="15"/>
      <c r="AR52" s="35" t="s">
        <v>216</v>
      </c>
      <c r="AS52" s="35" t="s">
        <v>217</v>
      </c>
      <c r="AT52" s="15"/>
      <c r="AU52" s="15"/>
      <c r="AV52" s="15"/>
      <c r="AW52" s="15"/>
      <c r="AX52" s="15"/>
      <c r="AY52" s="15"/>
      <c r="AZ52" s="15"/>
      <c r="BA52" s="15"/>
      <c r="BB52" s="36"/>
      <c r="BC52" s="36"/>
      <c r="BD52" s="15"/>
      <c r="BE52" s="15"/>
      <c r="BF52" s="15"/>
      <c r="BG52" s="15"/>
      <c r="BH52" s="15"/>
      <c r="BI52" s="15"/>
      <c r="BJ52" s="36"/>
      <c r="BM52" s="36"/>
      <c r="BN52" s="36"/>
      <c r="BO52" s="36"/>
      <c r="BP52" s="36"/>
      <c r="BQ52" s="36"/>
    </row>
    <row r="53" spans="1:69" ht="18" customHeight="1">
      <c r="A53" s="27" t="s">
        <v>452</v>
      </c>
      <c r="B53" s="118">
        <v>5570</v>
      </c>
      <c r="C53" s="118"/>
      <c r="D53" s="36" t="s">
        <v>453</v>
      </c>
      <c r="E53" s="36" t="s">
        <v>454</v>
      </c>
      <c r="F53" s="36"/>
      <c r="G53" s="36" t="s">
        <v>179</v>
      </c>
      <c r="H53" s="35" t="s">
        <v>211</v>
      </c>
      <c r="I53" s="35"/>
      <c r="J53" s="36"/>
      <c r="K53" s="36"/>
      <c r="L53" s="35"/>
      <c r="M53" s="36"/>
      <c r="N53" s="15" t="s">
        <v>212</v>
      </c>
      <c r="O53" s="119" t="s">
        <v>184</v>
      </c>
      <c r="P53" s="36"/>
      <c r="Q53" s="15" t="s">
        <v>455</v>
      </c>
      <c r="R53" s="15"/>
      <c r="S53" s="15"/>
      <c r="T53" s="15" t="s">
        <v>138</v>
      </c>
      <c r="U53" s="15" t="s">
        <v>456</v>
      </c>
      <c r="V53" s="36"/>
      <c r="W53" s="36"/>
      <c r="X53" s="35"/>
      <c r="Y53" s="15"/>
      <c r="Z53" s="36"/>
      <c r="AA53" s="15"/>
      <c r="AB53" s="36"/>
      <c r="AC53" s="15"/>
      <c r="AD53" s="15"/>
      <c r="AE53" s="36" t="s">
        <v>138</v>
      </c>
      <c r="AF53" s="15"/>
      <c r="AG53" s="15"/>
      <c r="AH53" s="35"/>
      <c r="AI53" s="35"/>
      <c r="AJ53" s="35"/>
      <c r="AK53" s="35"/>
      <c r="AL53" s="35"/>
      <c r="AM53" s="35"/>
      <c r="AN53" s="35"/>
      <c r="AO53" s="15"/>
      <c r="AP53" s="36" t="s">
        <v>453</v>
      </c>
      <c r="AQ53" s="15"/>
      <c r="AR53" s="35" t="s">
        <v>417</v>
      </c>
      <c r="AS53" s="35" t="s">
        <v>160</v>
      </c>
      <c r="AT53" s="15"/>
      <c r="AU53" s="15"/>
      <c r="AV53" s="15"/>
      <c r="AW53" s="15"/>
      <c r="AX53" s="15"/>
      <c r="AY53" s="15"/>
      <c r="AZ53" s="15"/>
      <c r="BA53" s="15"/>
      <c r="BB53" s="36"/>
      <c r="BC53" s="36"/>
      <c r="BD53" s="15"/>
      <c r="BE53" s="15"/>
      <c r="BF53" s="15"/>
      <c r="BG53" s="15"/>
      <c r="BH53" s="15"/>
      <c r="BI53" s="15"/>
      <c r="BJ53" s="36"/>
      <c r="BM53" s="36"/>
      <c r="BN53" s="36"/>
      <c r="BO53" s="36"/>
      <c r="BP53" s="36"/>
      <c r="BQ53" s="36"/>
    </row>
    <row r="54" spans="1:69" ht="18" customHeight="1">
      <c r="A54" s="27" t="s">
        <v>457</v>
      </c>
      <c r="B54" s="118">
        <v>5666</v>
      </c>
      <c r="C54" s="118"/>
      <c r="D54" s="36" t="s">
        <v>458</v>
      </c>
      <c r="E54" s="36" t="s">
        <v>459</v>
      </c>
      <c r="F54" s="36"/>
      <c r="G54" s="36" t="s">
        <v>179</v>
      </c>
      <c r="H54" s="35" t="s">
        <v>211</v>
      </c>
      <c r="I54" s="35"/>
      <c r="J54" s="36"/>
      <c r="K54" s="36"/>
      <c r="L54" s="35"/>
      <c r="M54" s="36"/>
      <c r="N54" s="15" t="s">
        <v>212</v>
      </c>
      <c r="O54" s="119" t="s">
        <v>184</v>
      </c>
      <c r="P54" s="36"/>
      <c r="Q54" s="15" t="s">
        <v>460</v>
      </c>
      <c r="R54" s="15"/>
      <c r="S54" s="15"/>
      <c r="T54" s="15" t="s">
        <v>138</v>
      </c>
      <c r="U54" s="15" t="s">
        <v>461</v>
      </c>
      <c r="V54" s="36"/>
      <c r="W54" s="36"/>
      <c r="X54" s="35"/>
      <c r="Y54" s="15"/>
      <c r="Z54" s="36"/>
      <c r="AA54" s="15"/>
      <c r="AB54" s="36"/>
      <c r="AC54" s="15"/>
      <c r="AD54" s="15"/>
      <c r="AE54" s="36" t="s">
        <v>138</v>
      </c>
      <c r="AF54" s="15"/>
      <c r="AG54" s="15"/>
      <c r="AH54" s="35"/>
      <c r="AI54" s="35"/>
      <c r="AJ54" s="35"/>
      <c r="AK54" s="35"/>
      <c r="AL54" s="35"/>
      <c r="AM54" s="35"/>
      <c r="AN54" s="35"/>
      <c r="AO54" s="15"/>
      <c r="AP54" s="36" t="s">
        <v>462</v>
      </c>
      <c r="AQ54" s="15"/>
      <c r="AR54" s="35" t="s">
        <v>216</v>
      </c>
      <c r="AS54" s="35" t="s">
        <v>217</v>
      </c>
      <c r="AT54" s="15"/>
      <c r="AU54" s="15"/>
      <c r="AV54" s="15"/>
      <c r="AW54" s="15"/>
      <c r="AX54" s="15"/>
      <c r="AY54" s="15"/>
      <c r="AZ54" s="15"/>
      <c r="BA54" s="15"/>
      <c r="BB54" s="36"/>
      <c r="BC54" s="36"/>
      <c r="BD54" s="15"/>
      <c r="BE54" s="15"/>
      <c r="BF54" s="15"/>
      <c r="BG54" s="15"/>
      <c r="BH54" s="15"/>
      <c r="BI54" s="15"/>
      <c r="BJ54" s="36"/>
      <c r="BM54" s="36"/>
      <c r="BN54" s="36"/>
      <c r="BO54" s="36"/>
      <c r="BP54" s="36"/>
      <c r="BQ54" s="36"/>
    </row>
    <row r="55" spans="1:69" ht="18" customHeight="1">
      <c r="A55" s="27" t="s">
        <v>463</v>
      </c>
      <c r="B55" s="118">
        <v>5668</v>
      </c>
      <c r="C55" s="118"/>
      <c r="D55" s="36" t="s">
        <v>464</v>
      </c>
      <c r="E55" s="36" t="s">
        <v>465</v>
      </c>
      <c r="F55" s="36"/>
      <c r="G55" s="36" t="s">
        <v>179</v>
      </c>
      <c r="H55" s="35" t="s">
        <v>211</v>
      </c>
      <c r="I55" s="35"/>
      <c r="J55" s="36"/>
      <c r="K55" s="36"/>
      <c r="L55" s="35"/>
      <c r="M55" s="36"/>
      <c r="N55" s="15" t="s">
        <v>212</v>
      </c>
      <c r="O55" s="119" t="s">
        <v>184</v>
      </c>
      <c r="P55" s="36"/>
      <c r="Q55" s="15" t="s">
        <v>460</v>
      </c>
      <c r="R55" s="15"/>
      <c r="S55" s="15"/>
      <c r="T55" s="15" t="s">
        <v>150</v>
      </c>
      <c r="U55" s="15" t="s">
        <v>466</v>
      </c>
      <c r="V55" s="36"/>
      <c r="W55" s="36"/>
      <c r="X55" s="35"/>
      <c r="Y55" s="15"/>
      <c r="Z55" s="36"/>
      <c r="AA55" s="15"/>
      <c r="AB55" s="36"/>
      <c r="AC55" s="15"/>
      <c r="AD55" s="15"/>
      <c r="AE55" s="36" t="s">
        <v>150</v>
      </c>
      <c r="AF55" s="15"/>
      <c r="AG55" s="15"/>
      <c r="AH55" s="35"/>
      <c r="AI55" s="35"/>
      <c r="AJ55" s="35"/>
      <c r="AK55" s="35"/>
      <c r="AL55" s="35"/>
      <c r="AM55" s="35"/>
      <c r="AN55" s="35"/>
      <c r="AO55" s="15"/>
      <c r="AP55" s="36"/>
      <c r="AQ55" s="15"/>
      <c r="AR55" s="35" t="s">
        <v>216</v>
      </c>
      <c r="AS55" s="35" t="s">
        <v>216</v>
      </c>
      <c r="AT55" s="15"/>
      <c r="AU55" s="15"/>
      <c r="AV55" s="15"/>
      <c r="AW55" s="15"/>
      <c r="AX55" s="15"/>
      <c r="AY55" s="15"/>
      <c r="AZ55" s="15"/>
      <c r="BA55" s="15"/>
      <c r="BB55" s="36"/>
      <c r="BC55" s="36"/>
      <c r="BD55" s="15"/>
      <c r="BE55" s="15"/>
      <c r="BF55" s="15"/>
      <c r="BG55" s="15"/>
      <c r="BH55" s="15"/>
      <c r="BI55" s="15"/>
      <c r="BJ55" s="36"/>
      <c r="BM55" s="36"/>
      <c r="BN55" s="36"/>
      <c r="BO55" s="36"/>
      <c r="BP55" s="36"/>
      <c r="BQ55" s="36"/>
    </row>
    <row r="56" spans="1:69" ht="18" customHeight="1">
      <c r="A56" s="27" t="s">
        <v>467</v>
      </c>
      <c r="B56" s="118">
        <v>5670</v>
      </c>
      <c r="C56" s="118"/>
      <c r="D56" s="36" t="s">
        <v>468</v>
      </c>
      <c r="E56" s="36" t="s">
        <v>469</v>
      </c>
      <c r="F56" s="36"/>
      <c r="G56" s="36" t="s">
        <v>179</v>
      </c>
      <c r="H56" s="35" t="s">
        <v>211</v>
      </c>
      <c r="I56" s="35"/>
      <c r="J56" s="36"/>
      <c r="K56" s="36"/>
      <c r="L56" s="35"/>
      <c r="M56" s="36"/>
      <c r="N56" s="15" t="s">
        <v>212</v>
      </c>
      <c r="O56" s="119" t="s">
        <v>184</v>
      </c>
      <c r="P56" s="36"/>
      <c r="Q56" s="15" t="s">
        <v>460</v>
      </c>
      <c r="R56" s="15"/>
      <c r="S56" s="15"/>
      <c r="T56" s="15" t="s">
        <v>138</v>
      </c>
      <c r="U56" s="15" t="s">
        <v>470</v>
      </c>
      <c r="V56" s="36"/>
      <c r="W56" s="36"/>
      <c r="X56" s="35"/>
      <c r="Y56" s="15"/>
      <c r="Z56" s="36"/>
      <c r="AA56" s="15"/>
      <c r="AB56" s="36"/>
      <c r="AC56" s="15"/>
      <c r="AD56" s="15"/>
      <c r="AE56" s="36" t="s">
        <v>150</v>
      </c>
      <c r="AF56" s="15"/>
      <c r="AG56" s="15"/>
      <c r="AH56" s="35"/>
      <c r="AI56" s="35"/>
      <c r="AJ56" s="35"/>
      <c r="AK56" s="35"/>
      <c r="AL56" s="35"/>
      <c r="AM56" s="35"/>
      <c r="AN56" s="35"/>
      <c r="AO56" s="15"/>
      <c r="AP56" s="36" t="s">
        <v>468</v>
      </c>
      <c r="AQ56" s="15"/>
      <c r="AR56" s="35" t="s">
        <v>417</v>
      </c>
      <c r="AS56" s="35" t="s">
        <v>160</v>
      </c>
      <c r="AT56" s="15"/>
      <c r="AU56" s="15"/>
      <c r="AV56" s="15"/>
      <c r="AW56" s="15"/>
      <c r="AX56" s="15"/>
      <c r="AY56" s="15"/>
      <c r="AZ56" s="15"/>
      <c r="BA56" s="15"/>
      <c r="BB56" s="36"/>
      <c r="BC56" s="36"/>
      <c r="BD56" s="15"/>
      <c r="BE56" s="15"/>
      <c r="BF56" s="15"/>
      <c r="BG56" s="15"/>
      <c r="BH56" s="15"/>
      <c r="BI56" s="15"/>
      <c r="BJ56" s="36"/>
      <c r="BM56" s="36"/>
      <c r="BN56" s="36"/>
      <c r="BO56" s="36"/>
      <c r="BP56" s="36"/>
      <c r="BQ56" s="36"/>
    </row>
    <row r="57" spans="1:69" ht="18" customHeight="1">
      <c r="A57" s="27" t="s">
        <v>471</v>
      </c>
      <c r="B57" s="118">
        <v>5712</v>
      </c>
      <c r="C57" s="118"/>
      <c r="D57" s="36" t="s">
        <v>472</v>
      </c>
      <c r="E57" s="36" t="s">
        <v>473</v>
      </c>
      <c r="F57" s="36"/>
      <c r="G57" s="36" t="s">
        <v>179</v>
      </c>
      <c r="H57" s="35" t="s">
        <v>211</v>
      </c>
      <c r="I57" s="35"/>
      <c r="J57" s="36"/>
      <c r="K57" s="36"/>
      <c r="L57" s="35"/>
      <c r="M57" s="36"/>
      <c r="N57" s="15" t="s">
        <v>223</v>
      </c>
      <c r="O57" s="119" t="s">
        <v>184</v>
      </c>
      <c r="P57" s="36"/>
      <c r="Q57" s="15" t="s">
        <v>474</v>
      </c>
      <c r="R57" s="15"/>
      <c r="S57" s="15"/>
      <c r="T57" s="15" t="s">
        <v>138</v>
      </c>
      <c r="U57" s="15" t="s">
        <v>475</v>
      </c>
      <c r="V57" s="36"/>
      <c r="W57" s="36"/>
      <c r="X57" s="35"/>
      <c r="Y57" s="15"/>
      <c r="Z57" s="36"/>
      <c r="AA57" s="15"/>
      <c r="AB57" s="36"/>
      <c r="AC57" s="15"/>
      <c r="AD57" s="15"/>
      <c r="AE57" s="36"/>
      <c r="AF57" s="15"/>
      <c r="AG57" s="15"/>
      <c r="AH57" s="35"/>
      <c r="AI57" s="35"/>
      <c r="AJ57" s="35"/>
      <c r="AK57" s="35"/>
      <c r="AL57" s="35"/>
      <c r="AM57" s="35"/>
      <c r="AN57" s="35"/>
      <c r="AO57" s="15"/>
      <c r="AP57" s="36" t="s">
        <v>472</v>
      </c>
      <c r="AQ57" s="15"/>
      <c r="AR57" s="35" t="s">
        <v>216</v>
      </c>
      <c r="AS57" s="35" t="s">
        <v>217</v>
      </c>
      <c r="AT57" s="15"/>
      <c r="AU57" s="15"/>
      <c r="AV57" s="15"/>
      <c r="AW57" s="15"/>
      <c r="AX57" s="15"/>
      <c r="AY57" s="15"/>
      <c r="AZ57" s="15"/>
      <c r="BA57" s="15"/>
      <c r="BB57" s="36"/>
      <c r="BC57" s="36"/>
      <c r="BD57" s="15"/>
      <c r="BE57" s="15"/>
      <c r="BF57" s="15"/>
      <c r="BG57" s="15"/>
      <c r="BH57" s="15"/>
      <c r="BI57" s="15"/>
      <c r="BJ57" s="36"/>
      <c r="BM57" s="36"/>
      <c r="BN57" s="36"/>
      <c r="BO57" s="36"/>
      <c r="BP57" s="36"/>
      <c r="BQ57" s="36"/>
    </row>
    <row r="58" spans="1:69" ht="18" customHeight="1">
      <c r="A58" s="27" t="s">
        <v>476</v>
      </c>
      <c r="B58" s="118">
        <v>5713</v>
      </c>
      <c r="C58" s="118"/>
      <c r="D58" s="36" t="s">
        <v>477</v>
      </c>
      <c r="E58" s="36" t="s">
        <v>478</v>
      </c>
      <c r="F58" s="36"/>
      <c r="G58" s="36" t="s">
        <v>179</v>
      </c>
      <c r="H58" s="35" t="s">
        <v>211</v>
      </c>
      <c r="I58" s="35"/>
      <c r="J58" s="36"/>
      <c r="K58" s="36"/>
      <c r="L58" s="35"/>
      <c r="M58" s="36"/>
      <c r="N58" s="15" t="s">
        <v>212</v>
      </c>
      <c r="O58" s="119" t="s">
        <v>184</v>
      </c>
      <c r="P58" s="36"/>
      <c r="Q58" s="15" t="e">
        <v>#N/A</v>
      </c>
      <c r="R58" s="15"/>
      <c r="S58" s="15"/>
      <c r="T58" s="15" t="s">
        <v>150</v>
      </c>
      <c r="U58" s="15" t="s">
        <v>475</v>
      </c>
      <c r="V58" s="36"/>
      <c r="W58" s="36"/>
      <c r="X58" s="35"/>
      <c r="Y58" s="15"/>
      <c r="Z58" s="36"/>
      <c r="AA58" s="15"/>
      <c r="AB58" s="36"/>
      <c r="AC58" s="15"/>
      <c r="AD58" s="15"/>
      <c r="AE58" s="36" t="s">
        <v>150</v>
      </c>
      <c r="AF58" s="15"/>
      <c r="AG58" s="15"/>
      <c r="AH58" s="35"/>
      <c r="AI58" s="35"/>
      <c r="AJ58" s="35"/>
      <c r="AK58" s="35"/>
      <c r="AL58" s="35"/>
      <c r="AM58" s="35"/>
      <c r="AN58" s="35"/>
      <c r="AO58" s="15"/>
      <c r="AP58" s="36" t="s">
        <v>479</v>
      </c>
      <c r="AQ58" s="15"/>
      <c r="AR58" s="35" t="s">
        <v>216</v>
      </c>
      <c r="AS58" s="35" t="s">
        <v>217</v>
      </c>
      <c r="AT58" s="15"/>
      <c r="AU58" s="15"/>
      <c r="AV58" s="15"/>
      <c r="AW58" s="15"/>
      <c r="AX58" s="15"/>
      <c r="AY58" s="15"/>
      <c r="AZ58" s="15"/>
      <c r="BA58" s="15"/>
      <c r="BB58" s="36"/>
      <c r="BC58" s="36"/>
      <c r="BD58" s="15"/>
      <c r="BE58" s="15"/>
      <c r="BF58" s="15"/>
      <c r="BG58" s="15"/>
      <c r="BH58" s="15"/>
      <c r="BI58" s="15"/>
      <c r="BJ58" s="36"/>
      <c r="BM58" s="36"/>
      <c r="BN58" s="36"/>
      <c r="BO58" s="36"/>
      <c r="BP58" s="36"/>
      <c r="BQ58" s="36"/>
    </row>
    <row r="59" spans="1:69" ht="18" customHeight="1">
      <c r="A59" s="27" t="s">
        <v>480</v>
      </c>
      <c r="B59" s="118">
        <v>5717</v>
      </c>
      <c r="C59" s="118"/>
      <c r="D59" s="36" t="s">
        <v>481</v>
      </c>
      <c r="E59" s="36" t="s">
        <v>481</v>
      </c>
      <c r="F59" s="36"/>
      <c r="G59" s="36" t="s">
        <v>179</v>
      </c>
      <c r="H59" s="35" t="s">
        <v>211</v>
      </c>
      <c r="I59" s="35"/>
      <c r="J59" s="36"/>
      <c r="K59" s="36"/>
      <c r="L59" s="35"/>
      <c r="M59" s="36"/>
      <c r="N59" s="15" t="s">
        <v>212</v>
      </c>
      <c r="O59" s="119" t="s">
        <v>184</v>
      </c>
      <c r="P59" s="36"/>
      <c r="Q59" s="15" t="e">
        <v>#N/A</v>
      </c>
      <c r="R59" s="15"/>
      <c r="S59" s="15"/>
      <c r="T59" s="15" t="s">
        <v>138</v>
      </c>
      <c r="U59" s="15" t="s">
        <v>482</v>
      </c>
      <c r="V59" s="36"/>
      <c r="W59" s="36"/>
      <c r="X59" s="35"/>
      <c r="Y59" s="15"/>
      <c r="Z59" s="36"/>
      <c r="AA59" s="15"/>
      <c r="AB59" s="36"/>
      <c r="AC59" s="15"/>
      <c r="AD59" s="15"/>
      <c r="AE59" s="36" t="s">
        <v>138</v>
      </c>
      <c r="AF59" s="15"/>
      <c r="AG59" s="15"/>
      <c r="AH59" s="35"/>
      <c r="AI59" s="35"/>
      <c r="AJ59" s="35"/>
      <c r="AK59" s="35"/>
      <c r="AL59" s="35"/>
      <c r="AM59" s="35"/>
      <c r="AN59" s="35"/>
      <c r="AO59" s="15"/>
      <c r="AP59" s="36" t="s">
        <v>443</v>
      </c>
      <c r="AQ59" s="15"/>
      <c r="AR59" s="35" t="s">
        <v>216</v>
      </c>
      <c r="AS59" s="35" t="s">
        <v>217</v>
      </c>
      <c r="AT59" s="15"/>
      <c r="AU59" s="15"/>
      <c r="AV59" s="15"/>
      <c r="AW59" s="15"/>
      <c r="AX59" s="15"/>
      <c r="AY59" s="15"/>
      <c r="AZ59" s="15"/>
      <c r="BA59" s="15"/>
      <c r="BB59" s="36"/>
      <c r="BC59" s="36"/>
      <c r="BD59" s="15"/>
      <c r="BE59" s="15"/>
      <c r="BF59" s="15"/>
      <c r="BG59" s="15"/>
      <c r="BH59" s="15"/>
      <c r="BI59" s="15"/>
      <c r="BJ59" s="36"/>
      <c r="BM59" s="36"/>
      <c r="BN59" s="36"/>
      <c r="BO59" s="36"/>
      <c r="BP59" s="36"/>
      <c r="BQ59" s="36"/>
    </row>
    <row r="60" spans="1:69" ht="18" customHeight="1">
      <c r="A60" s="27" t="s">
        <v>483</v>
      </c>
      <c r="B60" s="118">
        <v>5720</v>
      </c>
      <c r="C60" s="118"/>
      <c r="D60" s="36" t="s">
        <v>484</v>
      </c>
      <c r="E60" s="36" t="s">
        <v>485</v>
      </c>
      <c r="F60" s="36"/>
      <c r="G60" s="36" t="s">
        <v>179</v>
      </c>
      <c r="H60" s="35" t="s">
        <v>211</v>
      </c>
      <c r="I60" s="35"/>
      <c r="J60" s="36"/>
      <c r="K60" s="36"/>
      <c r="L60" s="35"/>
      <c r="M60" s="36"/>
      <c r="N60" s="15" t="s">
        <v>212</v>
      </c>
      <c r="O60" s="119" t="s">
        <v>184</v>
      </c>
      <c r="P60" s="36"/>
      <c r="Q60" s="15" t="e">
        <v>#N/A</v>
      </c>
      <c r="R60" s="15"/>
      <c r="S60" s="15"/>
      <c r="T60" s="15" t="s">
        <v>138</v>
      </c>
      <c r="U60" s="15" t="s">
        <v>486</v>
      </c>
      <c r="V60" s="36"/>
      <c r="W60" s="36"/>
      <c r="X60" s="35"/>
      <c r="Y60" s="15"/>
      <c r="Z60" s="36"/>
      <c r="AA60" s="15"/>
      <c r="AB60" s="36"/>
      <c r="AC60" s="15"/>
      <c r="AD60" s="15"/>
      <c r="AE60" s="36" t="s">
        <v>150</v>
      </c>
      <c r="AF60" s="15"/>
      <c r="AG60" s="15"/>
      <c r="AH60" s="35"/>
      <c r="AI60" s="35"/>
      <c r="AJ60" s="35"/>
      <c r="AK60" s="35"/>
      <c r="AL60" s="35"/>
      <c r="AM60" s="35"/>
      <c r="AN60" s="35"/>
      <c r="AO60" s="15"/>
      <c r="AP60" s="36" t="s">
        <v>487</v>
      </c>
      <c r="AQ60" s="15"/>
      <c r="AR60" s="35" t="s">
        <v>216</v>
      </c>
      <c r="AS60" s="35" t="s">
        <v>217</v>
      </c>
      <c r="AT60" s="15"/>
      <c r="AU60" s="15"/>
      <c r="AV60" s="15"/>
      <c r="AW60" s="15"/>
      <c r="AX60" s="15"/>
      <c r="AY60" s="15"/>
      <c r="AZ60" s="15"/>
      <c r="BA60" s="15"/>
      <c r="BB60" s="36"/>
      <c r="BC60" s="36"/>
      <c r="BD60" s="15"/>
      <c r="BE60" s="15"/>
      <c r="BF60" s="15"/>
      <c r="BG60" s="15"/>
      <c r="BH60" s="15"/>
      <c r="BI60" s="15"/>
      <c r="BJ60" s="36"/>
      <c r="BM60" s="36"/>
      <c r="BN60" s="36"/>
      <c r="BO60" s="36"/>
      <c r="BP60" s="36"/>
      <c r="BQ60" s="36"/>
    </row>
    <row r="61" spans="1:69" ht="18" customHeight="1">
      <c r="A61" s="27" t="s">
        <v>488</v>
      </c>
      <c r="B61" s="118">
        <v>6010</v>
      </c>
      <c r="C61" s="118"/>
      <c r="D61" s="36" t="s">
        <v>489</v>
      </c>
      <c r="E61" s="36" t="s">
        <v>490</v>
      </c>
      <c r="F61" s="36"/>
      <c r="G61" s="36" t="s">
        <v>179</v>
      </c>
      <c r="H61" s="35" t="s">
        <v>211</v>
      </c>
      <c r="I61" s="35"/>
      <c r="J61" s="36"/>
      <c r="K61" s="36"/>
      <c r="L61" s="35"/>
      <c r="M61" s="36"/>
      <c r="N61" s="15" t="s">
        <v>223</v>
      </c>
      <c r="O61" s="119" t="s">
        <v>309</v>
      </c>
      <c r="P61" s="36"/>
      <c r="Q61" s="15" t="e">
        <v>#N/A</v>
      </c>
      <c r="R61" s="15"/>
      <c r="S61" s="15"/>
      <c r="T61" s="15" t="s">
        <v>138</v>
      </c>
      <c r="U61" s="15" t="s">
        <v>491</v>
      </c>
      <c r="V61" s="36"/>
      <c r="W61" s="36"/>
      <c r="X61" s="35"/>
      <c r="Y61" s="15"/>
      <c r="Z61" s="36"/>
      <c r="AA61" s="15"/>
      <c r="AB61" s="36"/>
      <c r="AC61" s="15"/>
      <c r="AD61" s="15"/>
      <c r="AE61" s="36" t="s">
        <v>138</v>
      </c>
      <c r="AF61" s="15"/>
      <c r="AG61" s="15"/>
      <c r="AH61" s="35"/>
      <c r="AI61" s="35"/>
      <c r="AJ61" s="35"/>
      <c r="AK61" s="35"/>
      <c r="AL61" s="35"/>
      <c r="AM61" s="35"/>
      <c r="AN61" s="35"/>
      <c r="AO61" s="15"/>
      <c r="AP61" s="36" t="s">
        <v>492</v>
      </c>
      <c r="AQ61" s="15"/>
      <c r="AR61" s="35" t="s">
        <v>216</v>
      </c>
      <c r="AS61" s="35" t="s">
        <v>217</v>
      </c>
      <c r="AT61" s="15"/>
      <c r="AU61" s="15"/>
      <c r="AV61" s="15"/>
      <c r="AW61" s="15"/>
      <c r="AX61" s="15"/>
      <c r="AY61" s="15"/>
      <c r="AZ61" s="15"/>
      <c r="BA61" s="15"/>
      <c r="BB61" s="36"/>
      <c r="BC61" s="36"/>
      <c r="BD61" s="15"/>
      <c r="BE61" s="15"/>
      <c r="BF61" s="15"/>
      <c r="BG61" s="15"/>
      <c r="BH61" s="15"/>
      <c r="BI61" s="15"/>
      <c r="BJ61" s="36"/>
      <c r="BM61" s="36"/>
      <c r="BN61" s="36"/>
      <c r="BO61" s="36"/>
      <c r="BP61" s="36"/>
      <c r="BQ61" s="36"/>
    </row>
    <row r="62" spans="1:69" ht="18" customHeight="1">
      <c r="A62" s="27" t="s">
        <v>493</v>
      </c>
      <c r="B62" s="118">
        <v>6096</v>
      </c>
      <c r="C62" s="118"/>
      <c r="D62" s="36" t="s">
        <v>494</v>
      </c>
      <c r="E62" s="36" t="s">
        <v>495</v>
      </c>
      <c r="F62" s="36"/>
      <c r="G62" s="36" t="s">
        <v>179</v>
      </c>
      <c r="H62" s="35" t="s">
        <v>211</v>
      </c>
      <c r="I62" s="35"/>
      <c r="J62" s="36"/>
      <c r="K62" s="36"/>
      <c r="L62" s="35"/>
      <c r="M62" s="36"/>
      <c r="N62" s="15" t="s">
        <v>212</v>
      </c>
      <c r="O62" s="119" t="s">
        <v>184</v>
      </c>
      <c r="P62" s="36"/>
      <c r="Q62" s="15" t="e">
        <v>#N/A</v>
      </c>
      <c r="R62" s="15"/>
      <c r="S62" s="15"/>
      <c r="T62" s="15" t="s">
        <v>138</v>
      </c>
      <c r="U62" s="15" t="s">
        <v>496</v>
      </c>
      <c r="V62" s="36"/>
      <c r="W62" s="36"/>
      <c r="X62" s="35"/>
      <c r="Y62" s="15"/>
      <c r="Z62" s="36"/>
      <c r="AA62" s="15"/>
      <c r="AB62" s="36"/>
      <c r="AC62" s="15"/>
      <c r="AD62" s="15"/>
      <c r="AE62" s="36" t="s">
        <v>138</v>
      </c>
      <c r="AF62" s="15"/>
      <c r="AG62" s="15"/>
      <c r="AH62" s="35"/>
      <c r="AI62" s="35"/>
      <c r="AJ62" s="35"/>
      <c r="AK62" s="35"/>
      <c r="AL62" s="35"/>
      <c r="AM62" s="35"/>
      <c r="AN62" s="35"/>
      <c r="AO62" s="15"/>
      <c r="AP62" s="36" t="s">
        <v>443</v>
      </c>
      <c r="AQ62" s="15"/>
      <c r="AR62" s="35" t="s">
        <v>216</v>
      </c>
      <c r="AS62" s="35" t="s">
        <v>217</v>
      </c>
      <c r="AT62" s="15"/>
      <c r="AU62" s="15"/>
      <c r="AV62" s="15"/>
      <c r="AW62" s="15"/>
      <c r="AX62" s="15"/>
      <c r="AY62" s="15"/>
      <c r="AZ62" s="15"/>
      <c r="BA62" s="15"/>
      <c r="BB62" s="36"/>
      <c r="BC62" s="36"/>
      <c r="BD62" s="15"/>
      <c r="BE62" s="15"/>
      <c r="BF62" s="15"/>
      <c r="BG62" s="15"/>
      <c r="BH62" s="15"/>
      <c r="BI62" s="15"/>
      <c r="BJ62" s="36"/>
      <c r="BM62" s="36"/>
      <c r="BN62" s="36"/>
      <c r="BO62" s="36"/>
      <c r="BP62" s="36"/>
      <c r="BQ62" s="36"/>
    </row>
    <row r="63" spans="1:69" ht="18" customHeight="1">
      <c r="A63" s="27" t="s">
        <v>497</v>
      </c>
      <c r="B63" s="118">
        <v>6393</v>
      </c>
      <c r="C63" s="118"/>
      <c r="D63" s="36" t="s">
        <v>498</v>
      </c>
      <c r="E63" s="36" t="s">
        <v>499</v>
      </c>
      <c r="F63" s="36"/>
      <c r="G63" s="36" t="s">
        <v>179</v>
      </c>
      <c r="H63" s="35" t="s">
        <v>211</v>
      </c>
      <c r="I63" s="35"/>
      <c r="J63" s="36"/>
      <c r="K63" s="36"/>
      <c r="L63" s="35"/>
      <c r="M63" s="36"/>
      <c r="N63" s="15" t="s">
        <v>223</v>
      </c>
      <c r="O63" s="119" t="s">
        <v>309</v>
      </c>
      <c r="P63" s="36"/>
      <c r="Q63" s="15" t="e">
        <v>#N/A</v>
      </c>
      <c r="R63" s="15"/>
      <c r="S63" s="15"/>
      <c r="T63" s="15" t="s">
        <v>150</v>
      </c>
      <c r="U63" s="15" t="s">
        <v>500</v>
      </c>
      <c r="V63" s="36"/>
      <c r="W63" s="36"/>
      <c r="X63" s="35"/>
      <c r="Y63" s="15"/>
      <c r="Z63" s="36"/>
      <c r="AA63" s="15"/>
      <c r="AB63" s="36"/>
      <c r="AC63" s="15"/>
      <c r="AD63" s="15"/>
      <c r="AE63" s="36"/>
      <c r="AF63" s="15"/>
      <c r="AG63" s="15"/>
      <c r="AH63" s="35"/>
      <c r="AI63" s="35"/>
      <c r="AJ63" s="35"/>
      <c r="AK63" s="35"/>
      <c r="AL63" s="35"/>
      <c r="AM63" s="35"/>
      <c r="AN63" s="35"/>
      <c r="AO63" s="15"/>
      <c r="AP63" s="36" t="s">
        <v>501</v>
      </c>
      <c r="AQ63" s="15"/>
      <c r="AR63" s="35" t="s">
        <v>216</v>
      </c>
      <c r="AS63" s="35" t="s">
        <v>217</v>
      </c>
      <c r="AT63" s="15"/>
      <c r="AU63" s="15"/>
      <c r="AV63" s="15"/>
      <c r="AW63" s="15"/>
      <c r="AX63" s="15"/>
      <c r="AY63" s="15"/>
      <c r="AZ63" s="15"/>
      <c r="BA63" s="15"/>
      <c r="BB63" s="36"/>
      <c r="BC63" s="36"/>
      <c r="BD63" s="15"/>
      <c r="BE63" s="15"/>
      <c r="BF63" s="15"/>
      <c r="BG63" s="15"/>
      <c r="BH63" s="15"/>
      <c r="BI63" s="15"/>
      <c r="BJ63" s="36"/>
      <c r="BM63" s="36"/>
      <c r="BN63" s="36"/>
      <c r="BO63" s="36"/>
      <c r="BP63" s="36"/>
      <c r="BQ63" s="36"/>
    </row>
    <row r="64" spans="1:69" ht="18" customHeight="1">
      <c r="A64" s="27" t="s">
        <v>502</v>
      </c>
      <c r="B64" s="118">
        <v>6397</v>
      </c>
      <c r="C64" s="118"/>
      <c r="D64" s="36" t="s">
        <v>503</v>
      </c>
      <c r="E64" s="36" t="s">
        <v>504</v>
      </c>
      <c r="F64" s="36"/>
      <c r="G64" s="36" t="s">
        <v>179</v>
      </c>
      <c r="H64" s="35" t="s">
        <v>211</v>
      </c>
      <c r="I64" s="35"/>
      <c r="J64" s="36"/>
      <c r="K64" s="36"/>
      <c r="L64" s="35"/>
      <c r="M64" s="36"/>
      <c r="N64" s="15" t="s">
        <v>212</v>
      </c>
      <c r="O64" s="119" t="s">
        <v>184</v>
      </c>
      <c r="P64" s="36"/>
      <c r="Q64" s="15" t="s">
        <v>143</v>
      </c>
      <c r="R64" s="15"/>
      <c r="S64" s="15"/>
      <c r="T64" s="15" t="s">
        <v>138</v>
      </c>
      <c r="U64" s="15" t="s">
        <v>505</v>
      </c>
      <c r="V64" s="36"/>
      <c r="W64" s="36"/>
      <c r="X64" s="35"/>
      <c r="Y64" s="15"/>
      <c r="Z64" s="36"/>
      <c r="AA64" s="15"/>
      <c r="AB64" s="36"/>
      <c r="AC64" s="15"/>
      <c r="AD64" s="15"/>
      <c r="AE64" s="36" t="s">
        <v>138</v>
      </c>
      <c r="AF64" s="15"/>
      <c r="AG64" s="15"/>
      <c r="AH64" s="35"/>
      <c r="AI64" s="35"/>
      <c r="AJ64" s="35"/>
      <c r="AK64" s="35"/>
      <c r="AL64" s="35"/>
      <c r="AM64" s="35"/>
      <c r="AN64" s="35"/>
      <c r="AO64" s="15"/>
      <c r="AP64" s="36" t="s">
        <v>503</v>
      </c>
      <c r="AQ64" s="15"/>
      <c r="AR64" s="35" t="s">
        <v>216</v>
      </c>
      <c r="AS64" s="35" t="s">
        <v>217</v>
      </c>
      <c r="AT64" s="15"/>
      <c r="AU64" s="15"/>
      <c r="AV64" s="15"/>
      <c r="AW64" s="15"/>
      <c r="AX64" s="15"/>
      <c r="AY64" s="15"/>
      <c r="AZ64" s="15"/>
      <c r="BA64" s="15"/>
      <c r="BB64" s="36"/>
      <c r="BC64" s="36"/>
      <c r="BD64" s="15"/>
      <c r="BE64" s="15"/>
      <c r="BF64" s="15"/>
      <c r="BG64" s="15"/>
      <c r="BH64" s="15"/>
      <c r="BI64" s="15"/>
      <c r="BJ64" s="36"/>
      <c r="BM64" s="36"/>
      <c r="BN64" s="36"/>
      <c r="BO64" s="36"/>
      <c r="BP64" s="36"/>
      <c r="BQ64" s="36"/>
    </row>
    <row r="65" spans="1:69" ht="18" customHeight="1">
      <c r="A65" s="27" t="s">
        <v>506</v>
      </c>
      <c r="B65" s="118">
        <v>6405</v>
      </c>
      <c r="C65" s="118"/>
      <c r="D65" s="36" t="s">
        <v>507</v>
      </c>
      <c r="E65" s="36" t="s">
        <v>508</v>
      </c>
      <c r="F65" s="36"/>
      <c r="G65" s="36" t="s">
        <v>179</v>
      </c>
      <c r="H65" s="35" t="s">
        <v>211</v>
      </c>
      <c r="I65" s="35"/>
      <c r="J65" s="36"/>
      <c r="K65" s="36"/>
      <c r="L65" s="35"/>
      <c r="M65" s="36"/>
      <c r="N65" s="15" t="s">
        <v>223</v>
      </c>
      <c r="O65" s="119" t="s">
        <v>184</v>
      </c>
      <c r="P65" s="36"/>
      <c r="Q65" s="15"/>
      <c r="R65" s="15"/>
      <c r="S65" s="15"/>
      <c r="T65" s="15" t="s">
        <v>150</v>
      </c>
      <c r="U65" s="15">
        <v>0</v>
      </c>
      <c r="V65" s="36"/>
      <c r="W65" s="36"/>
      <c r="X65" s="35"/>
      <c r="Y65" s="15"/>
      <c r="Z65" s="36"/>
      <c r="AA65" s="15"/>
      <c r="AB65" s="36"/>
      <c r="AC65" s="15"/>
      <c r="AD65" s="15"/>
      <c r="AE65" s="36" t="s">
        <v>138</v>
      </c>
      <c r="AF65" s="15"/>
      <c r="AG65" s="15"/>
      <c r="AH65" s="35"/>
      <c r="AI65" s="35"/>
      <c r="AJ65" s="35"/>
      <c r="AK65" s="35"/>
      <c r="AL65" s="35"/>
      <c r="AM65" s="35"/>
      <c r="AN65" s="35"/>
      <c r="AO65" s="15"/>
      <c r="AP65" s="36" t="s">
        <v>472</v>
      </c>
      <c r="AQ65" s="15"/>
      <c r="AR65" s="35" t="s">
        <v>216</v>
      </c>
      <c r="AS65" s="35" t="s">
        <v>217</v>
      </c>
      <c r="AT65" s="15"/>
      <c r="AU65" s="15"/>
      <c r="AV65" s="15"/>
      <c r="AW65" s="15"/>
      <c r="AX65" s="15"/>
      <c r="AY65" s="15"/>
      <c r="AZ65" s="15"/>
      <c r="BA65" s="15"/>
      <c r="BB65" s="36"/>
      <c r="BC65" s="36"/>
      <c r="BD65" s="15"/>
      <c r="BE65" s="15"/>
      <c r="BF65" s="15"/>
      <c r="BG65" s="15"/>
      <c r="BH65" s="15"/>
      <c r="BI65" s="15"/>
      <c r="BJ65" s="36"/>
      <c r="BM65" s="36"/>
      <c r="BN65" s="36"/>
      <c r="BO65" s="36"/>
      <c r="BP65" s="36"/>
      <c r="BQ65" s="36"/>
    </row>
    <row r="66" spans="1:69" ht="18" customHeight="1">
      <c r="A66" s="27" t="s">
        <v>509</v>
      </c>
      <c r="B66" s="118">
        <v>6408</v>
      </c>
      <c r="C66" s="118"/>
      <c r="D66" s="36" t="s">
        <v>510</v>
      </c>
      <c r="E66" s="36" t="s">
        <v>511</v>
      </c>
      <c r="F66" s="36"/>
      <c r="G66" s="36" t="s">
        <v>179</v>
      </c>
      <c r="H66" s="35" t="s">
        <v>211</v>
      </c>
      <c r="I66" s="35"/>
      <c r="J66" s="36"/>
      <c r="K66" s="36"/>
      <c r="L66" s="35"/>
      <c r="M66" s="36"/>
      <c r="N66" s="15" t="s">
        <v>223</v>
      </c>
      <c r="O66" s="119" t="s">
        <v>309</v>
      </c>
      <c r="P66" s="36"/>
      <c r="Q66" s="15"/>
      <c r="R66" s="15"/>
      <c r="S66" s="15"/>
      <c r="T66" s="15" t="s">
        <v>150</v>
      </c>
      <c r="U66" s="15" t="s">
        <v>512</v>
      </c>
      <c r="V66" s="36"/>
      <c r="W66" s="36"/>
      <c r="X66" s="35"/>
      <c r="Y66" s="15"/>
      <c r="Z66" s="36"/>
      <c r="AA66" s="15"/>
      <c r="AB66" s="36"/>
      <c r="AC66" s="15"/>
      <c r="AD66" s="15"/>
      <c r="AE66" s="36" t="s">
        <v>138</v>
      </c>
      <c r="AF66" s="15"/>
      <c r="AG66" s="15"/>
      <c r="AH66" s="35"/>
      <c r="AI66" s="35"/>
      <c r="AJ66" s="35"/>
      <c r="AK66" s="35"/>
      <c r="AL66" s="35"/>
      <c r="AM66" s="35"/>
      <c r="AN66" s="35"/>
      <c r="AO66" s="15"/>
      <c r="AP66" s="36"/>
      <c r="AQ66" s="15"/>
      <c r="AR66" s="35" t="s">
        <v>216</v>
      </c>
      <c r="AS66" s="35" t="s">
        <v>216</v>
      </c>
      <c r="AT66" s="15"/>
      <c r="AU66" s="15"/>
      <c r="AV66" s="15"/>
      <c r="AW66" s="15"/>
      <c r="AX66" s="15"/>
      <c r="AY66" s="15"/>
      <c r="AZ66" s="15"/>
      <c r="BA66" s="15"/>
      <c r="BB66" s="36"/>
      <c r="BC66" s="36"/>
      <c r="BD66" s="15"/>
      <c r="BE66" s="15"/>
      <c r="BF66" s="15"/>
      <c r="BG66" s="15"/>
      <c r="BH66" s="15"/>
      <c r="BI66" s="15"/>
      <c r="BJ66" s="36"/>
      <c r="BM66" s="36"/>
      <c r="BN66" s="36"/>
      <c r="BO66" s="36"/>
      <c r="BP66" s="36"/>
      <c r="BQ66" s="36"/>
    </row>
    <row r="67" spans="1:69" ht="18" customHeight="1">
      <c r="A67" s="27" t="s">
        <v>513</v>
      </c>
      <c r="B67" s="118">
        <v>6422</v>
      </c>
      <c r="C67" s="118"/>
      <c r="D67" s="36" t="s">
        <v>514</v>
      </c>
      <c r="E67" s="36" t="s">
        <v>515</v>
      </c>
      <c r="F67" s="36"/>
      <c r="G67" s="36"/>
      <c r="H67" s="35" t="s">
        <v>211</v>
      </c>
      <c r="I67" s="35"/>
      <c r="J67" s="36"/>
      <c r="K67" s="36"/>
      <c r="L67" s="35"/>
      <c r="M67" s="36"/>
      <c r="N67" s="15" t="s">
        <v>212</v>
      </c>
      <c r="O67" s="119" t="s">
        <v>184</v>
      </c>
      <c r="P67" s="36"/>
      <c r="Q67" s="15"/>
      <c r="R67" s="15"/>
      <c r="S67" s="15"/>
      <c r="T67" s="15" t="s">
        <v>138</v>
      </c>
      <c r="U67" s="15" t="s">
        <v>516</v>
      </c>
      <c r="V67" s="36"/>
      <c r="W67" s="36"/>
      <c r="X67" s="35"/>
      <c r="Y67" s="15"/>
      <c r="Z67" s="36"/>
      <c r="AA67" s="15"/>
      <c r="AB67" s="36"/>
      <c r="AC67" s="15"/>
      <c r="AD67" s="15"/>
      <c r="AE67" s="36" t="s">
        <v>150</v>
      </c>
      <c r="AF67" s="15"/>
      <c r="AG67" s="15"/>
      <c r="AH67" s="35"/>
      <c r="AI67" s="35"/>
      <c r="AJ67" s="35"/>
      <c r="AK67" s="35"/>
      <c r="AL67" s="35"/>
      <c r="AM67" s="35"/>
      <c r="AN67" s="35"/>
      <c r="AO67" s="15"/>
      <c r="AP67" s="36" t="s">
        <v>443</v>
      </c>
      <c r="AQ67" s="15"/>
      <c r="AR67" s="35" t="s">
        <v>216</v>
      </c>
      <c r="AS67" s="35" t="s">
        <v>217</v>
      </c>
      <c r="AT67" s="15"/>
      <c r="AU67" s="15"/>
      <c r="AV67" s="15"/>
      <c r="AW67" s="15"/>
      <c r="AX67" s="15"/>
      <c r="AY67" s="15"/>
      <c r="AZ67" s="15"/>
      <c r="BA67" s="15"/>
      <c r="BB67" s="36"/>
      <c r="BC67" s="36"/>
      <c r="BD67" s="15"/>
      <c r="BE67" s="15"/>
      <c r="BF67" s="15"/>
      <c r="BG67" s="15"/>
      <c r="BH67" s="15"/>
      <c r="BI67" s="15"/>
      <c r="BJ67" s="36"/>
      <c r="BM67" s="36"/>
      <c r="BN67" s="36"/>
      <c r="BO67" s="36"/>
      <c r="BP67" s="36"/>
      <c r="BQ67" s="36"/>
    </row>
    <row r="68" spans="1:69" ht="18" customHeight="1">
      <c r="A68" s="27" t="s">
        <v>517</v>
      </c>
      <c r="B68" s="118">
        <v>6424</v>
      </c>
      <c r="C68" s="118"/>
      <c r="D68" s="36" t="s">
        <v>518</v>
      </c>
      <c r="E68" s="36" t="s">
        <v>519</v>
      </c>
      <c r="F68" s="36"/>
      <c r="G68" s="36" t="s">
        <v>179</v>
      </c>
      <c r="H68" s="35" t="s">
        <v>211</v>
      </c>
      <c r="I68" s="35"/>
      <c r="J68" s="36"/>
      <c r="K68" s="36"/>
      <c r="L68" s="35"/>
      <c r="M68" s="36"/>
      <c r="N68" s="15" t="s">
        <v>212</v>
      </c>
      <c r="O68" s="119" t="s">
        <v>184</v>
      </c>
      <c r="P68" s="36"/>
      <c r="Q68" s="15"/>
      <c r="R68" s="15"/>
      <c r="S68" s="15"/>
      <c r="T68" s="15" t="s">
        <v>150</v>
      </c>
      <c r="U68" s="15" t="s">
        <v>520</v>
      </c>
      <c r="V68" s="36"/>
      <c r="W68" s="36"/>
      <c r="X68" s="35"/>
      <c r="Y68" s="15"/>
      <c r="Z68" s="36"/>
      <c r="AA68" s="15"/>
      <c r="AB68" s="36"/>
      <c r="AC68" s="15"/>
      <c r="AD68" s="15"/>
      <c r="AE68" s="36" t="s">
        <v>138</v>
      </c>
      <c r="AF68" s="15"/>
      <c r="AG68" s="15"/>
      <c r="AH68" s="35"/>
      <c r="AI68" s="35"/>
      <c r="AJ68" s="35"/>
      <c r="AK68" s="35"/>
      <c r="AL68" s="35"/>
      <c r="AM68" s="35"/>
      <c r="AN68" s="35"/>
      <c r="AO68" s="15"/>
      <c r="AP68" s="36" t="s">
        <v>521</v>
      </c>
      <c r="AQ68" s="15"/>
      <c r="AR68" s="35" t="s">
        <v>216</v>
      </c>
      <c r="AS68" s="35" t="s">
        <v>217</v>
      </c>
      <c r="AT68" s="15"/>
      <c r="AU68" s="15"/>
      <c r="AV68" s="15"/>
      <c r="AW68" s="15"/>
      <c r="AX68" s="15"/>
      <c r="AY68" s="15"/>
      <c r="AZ68" s="15"/>
      <c r="BA68" s="15"/>
      <c r="BB68" s="36"/>
      <c r="BC68" s="36"/>
      <c r="BD68" s="15"/>
      <c r="BE68" s="15"/>
      <c r="BF68" s="15"/>
      <c r="BG68" s="15"/>
      <c r="BH68" s="15"/>
      <c r="BI68" s="15"/>
      <c r="BJ68" s="36"/>
      <c r="BM68" s="36"/>
      <c r="BN68" s="36"/>
      <c r="BO68" s="36"/>
      <c r="BP68" s="36"/>
      <c r="BQ68" s="36"/>
    </row>
    <row r="69" spans="1:69" ht="18" customHeight="1">
      <c r="A69" s="27" t="s">
        <v>522</v>
      </c>
      <c r="B69" s="118">
        <v>6452</v>
      </c>
      <c r="C69" s="118"/>
      <c r="D69" s="36" t="s">
        <v>523</v>
      </c>
      <c r="E69" s="36" t="s">
        <v>524</v>
      </c>
      <c r="F69" s="36"/>
      <c r="G69" s="36" t="s">
        <v>179</v>
      </c>
      <c r="H69" s="35" t="s">
        <v>211</v>
      </c>
      <c r="I69" s="35"/>
      <c r="J69" s="36"/>
      <c r="K69" s="36"/>
      <c r="L69" s="35"/>
      <c r="M69" s="36"/>
      <c r="N69" s="15" t="s">
        <v>223</v>
      </c>
      <c r="O69" s="119" t="s">
        <v>309</v>
      </c>
      <c r="P69" s="36"/>
      <c r="Q69" s="15"/>
      <c r="R69" s="15"/>
      <c r="S69" s="15"/>
      <c r="T69" s="15" t="s">
        <v>150</v>
      </c>
      <c r="U69" s="15" t="s">
        <v>525</v>
      </c>
      <c r="V69" s="36"/>
      <c r="W69" s="36"/>
      <c r="X69" s="35"/>
      <c r="Y69" s="15"/>
      <c r="Z69" s="36"/>
      <c r="AA69" s="15"/>
      <c r="AB69" s="36"/>
      <c r="AC69" s="15"/>
      <c r="AD69" s="15"/>
      <c r="AE69" s="36" t="s">
        <v>138</v>
      </c>
      <c r="AF69" s="15"/>
      <c r="AG69" s="15"/>
      <c r="AH69" s="35"/>
      <c r="AI69" s="35"/>
      <c r="AJ69" s="35"/>
      <c r="AK69" s="35"/>
      <c r="AL69" s="35"/>
      <c r="AM69" s="35"/>
      <c r="AN69" s="35"/>
      <c r="AO69" s="15"/>
      <c r="AP69" s="36"/>
      <c r="AQ69" s="15"/>
      <c r="AR69" s="35" t="s">
        <v>216</v>
      </c>
      <c r="AS69" s="35" t="s">
        <v>216</v>
      </c>
      <c r="AT69" s="15"/>
      <c r="AU69" s="15"/>
      <c r="AV69" s="15"/>
      <c r="AW69" s="15"/>
      <c r="AX69" s="15"/>
      <c r="AY69" s="15"/>
      <c r="AZ69" s="15"/>
      <c r="BA69" s="15"/>
      <c r="BB69" s="36"/>
      <c r="BC69" s="36"/>
      <c r="BD69" s="15"/>
      <c r="BE69" s="15"/>
      <c r="BF69" s="15"/>
      <c r="BG69" s="15"/>
      <c r="BH69" s="15"/>
      <c r="BI69" s="15"/>
      <c r="BJ69" s="36"/>
      <c r="BM69" s="36"/>
      <c r="BN69" s="36"/>
      <c r="BO69" s="36"/>
      <c r="BP69" s="36"/>
      <c r="BQ69" s="36"/>
    </row>
    <row r="70" spans="1:69" ht="18" customHeight="1">
      <c r="A70" s="27" t="s">
        <v>526</v>
      </c>
      <c r="B70" s="118">
        <v>6453</v>
      </c>
      <c r="C70" s="118"/>
      <c r="D70" s="36" t="s">
        <v>527</v>
      </c>
      <c r="E70" s="36" t="s">
        <v>528</v>
      </c>
      <c r="F70" s="36"/>
      <c r="G70" s="36" t="s">
        <v>179</v>
      </c>
      <c r="H70" s="35" t="s">
        <v>211</v>
      </c>
      <c r="I70" s="35"/>
      <c r="J70" s="36"/>
      <c r="K70" s="36"/>
      <c r="L70" s="35"/>
      <c r="M70" s="36"/>
      <c r="N70" s="15" t="s">
        <v>223</v>
      </c>
      <c r="O70" s="119" t="s">
        <v>309</v>
      </c>
      <c r="P70" s="36"/>
      <c r="Q70" s="15"/>
      <c r="R70" s="15"/>
      <c r="S70" s="15"/>
      <c r="T70" s="15" t="s">
        <v>150</v>
      </c>
      <c r="U70" s="15" t="s">
        <v>529</v>
      </c>
      <c r="V70" s="36"/>
      <c r="W70" s="36"/>
      <c r="X70" s="35"/>
      <c r="Y70" s="15"/>
      <c r="Z70" s="36"/>
      <c r="AA70" s="15"/>
      <c r="AB70" s="36"/>
      <c r="AC70" s="15"/>
      <c r="AD70" s="15"/>
      <c r="AE70" s="36"/>
      <c r="AF70" s="15"/>
      <c r="AG70" s="15"/>
      <c r="AH70" s="35"/>
      <c r="AI70" s="35"/>
      <c r="AJ70" s="35"/>
      <c r="AK70" s="35"/>
      <c r="AL70" s="35"/>
      <c r="AM70" s="35"/>
      <c r="AN70" s="35"/>
      <c r="AO70" s="15"/>
      <c r="AP70" s="36"/>
      <c r="AQ70" s="15"/>
      <c r="AR70" s="35" t="s">
        <v>216</v>
      </c>
      <c r="AS70" s="35" t="s">
        <v>216</v>
      </c>
      <c r="AT70" s="15"/>
      <c r="AU70" s="15"/>
      <c r="AV70" s="15"/>
      <c r="AW70" s="15"/>
      <c r="AX70" s="15"/>
      <c r="AY70" s="15"/>
      <c r="AZ70" s="15"/>
      <c r="BA70" s="15"/>
      <c r="BB70" s="36"/>
      <c r="BC70" s="36"/>
      <c r="BD70" s="15"/>
      <c r="BE70" s="15"/>
      <c r="BF70" s="15"/>
      <c r="BG70" s="15"/>
      <c r="BH70" s="15"/>
      <c r="BI70" s="15"/>
      <c r="BJ70" s="36"/>
      <c r="BM70" s="36"/>
      <c r="BN70" s="36"/>
      <c r="BO70" s="36"/>
      <c r="BP70" s="36"/>
      <c r="BQ70" s="36"/>
    </row>
    <row r="71" spans="1:69" ht="18" customHeight="1">
      <c r="A71" s="27" t="s">
        <v>530</v>
      </c>
      <c r="B71" s="118">
        <v>6500</v>
      </c>
      <c r="C71" s="118"/>
      <c r="D71" s="36" t="s">
        <v>531</v>
      </c>
      <c r="E71" s="36" t="s">
        <v>532</v>
      </c>
      <c r="F71" s="36"/>
      <c r="G71" s="36" t="s">
        <v>179</v>
      </c>
      <c r="H71" s="35" t="s">
        <v>211</v>
      </c>
      <c r="I71" s="35"/>
      <c r="J71" s="36"/>
      <c r="K71" s="36"/>
      <c r="L71" s="35"/>
      <c r="M71" s="36"/>
      <c r="N71" s="15" t="s">
        <v>223</v>
      </c>
      <c r="O71" s="119" t="s">
        <v>184</v>
      </c>
      <c r="P71" s="36"/>
      <c r="Q71" s="15"/>
      <c r="R71" s="15"/>
      <c r="S71" s="15"/>
      <c r="T71" s="15" t="s">
        <v>138</v>
      </c>
      <c r="U71" s="15" t="s">
        <v>533</v>
      </c>
      <c r="V71" s="36"/>
      <c r="W71" s="36"/>
      <c r="X71" s="35"/>
      <c r="Y71" s="15"/>
      <c r="Z71" s="36"/>
      <c r="AA71" s="15"/>
      <c r="AB71" s="36"/>
      <c r="AC71" s="15"/>
      <c r="AD71" s="15"/>
      <c r="AE71" s="36" t="s">
        <v>138</v>
      </c>
      <c r="AF71" s="15"/>
      <c r="AG71" s="15"/>
      <c r="AH71" s="35"/>
      <c r="AI71" s="35"/>
      <c r="AJ71" s="35"/>
      <c r="AK71" s="35"/>
      <c r="AL71" s="35"/>
      <c r="AM71" s="35"/>
      <c r="AN71" s="35"/>
      <c r="AO71" s="15"/>
      <c r="AP71" s="36" t="s">
        <v>372</v>
      </c>
      <c r="AQ71" s="15"/>
      <c r="AR71" s="35" t="s">
        <v>216</v>
      </c>
      <c r="AS71" s="35" t="s">
        <v>217</v>
      </c>
      <c r="AT71" s="15"/>
      <c r="AU71" s="15"/>
      <c r="AV71" s="15"/>
      <c r="AW71" s="15"/>
      <c r="AX71" s="15"/>
      <c r="AY71" s="15"/>
      <c r="AZ71" s="15"/>
      <c r="BA71" s="15"/>
      <c r="BB71" s="36"/>
      <c r="BC71" s="36"/>
      <c r="BD71" s="15"/>
      <c r="BE71" s="15"/>
      <c r="BF71" s="15"/>
      <c r="BG71" s="15"/>
      <c r="BH71" s="15"/>
      <c r="BI71" s="15"/>
      <c r="BJ71" s="36"/>
      <c r="BM71" s="36"/>
      <c r="BN71" s="36"/>
      <c r="BO71" s="36"/>
      <c r="BP71" s="36"/>
      <c r="BQ71" s="36"/>
    </row>
    <row r="72" spans="1:69" ht="18" customHeight="1">
      <c r="A72" s="27" t="s">
        <v>534</v>
      </c>
      <c r="B72" s="118">
        <v>6512</v>
      </c>
      <c r="C72" s="118"/>
      <c r="D72" s="36" t="s">
        <v>535</v>
      </c>
      <c r="E72" s="36" t="s">
        <v>536</v>
      </c>
      <c r="F72" s="36"/>
      <c r="G72" s="36" t="s">
        <v>179</v>
      </c>
      <c r="H72" s="35" t="s">
        <v>211</v>
      </c>
      <c r="I72" s="35"/>
      <c r="J72" s="36"/>
      <c r="K72" s="36"/>
      <c r="L72" s="35"/>
      <c r="M72" s="36"/>
      <c r="N72" s="15" t="s">
        <v>212</v>
      </c>
      <c r="O72" s="119" t="s">
        <v>184</v>
      </c>
      <c r="P72" s="36"/>
      <c r="Q72" s="15"/>
      <c r="R72" s="15"/>
      <c r="S72" s="15"/>
      <c r="T72" s="15" t="s">
        <v>138</v>
      </c>
      <c r="U72" s="15" t="s">
        <v>537</v>
      </c>
      <c r="V72" s="36"/>
      <c r="W72" s="36"/>
      <c r="X72" s="35"/>
      <c r="Y72" s="15"/>
      <c r="Z72" s="36"/>
      <c r="AA72" s="15"/>
      <c r="AB72" s="36"/>
      <c r="AC72" s="15"/>
      <c r="AD72" s="15"/>
      <c r="AE72" s="36" t="s">
        <v>150</v>
      </c>
      <c r="AF72" s="15"/>
      <c r="AG72" s="15"/>
      <c r="AH72" s="35"/>
      <c r="AI72" s="35"/>
      <c r="AJ72" s="35"/>
      <c r="AK72" s="35"/>
      <c r="AL72" s="35"/>
      <c r="AM72" s="35"/>
      <c r="AN72" s="35"/>
      <c r="AO72" s="15"/>
      <c r="AP72" s="36" t="s">
        <v>372</v>
      </c>
      <c r="AQ72" s="15"/>
      <c r="AR72" s="35" t="s">
        <v>216</v>
      </c>
      <c r="AS72" s="35" t="s">
        <v>217</v>
      </c>
      <c r="AT72" s="15"/>
      <c r="AU72" s="15"/>
      <c r="AV72" s="15"/>
      <c r="AW72" s="15"/>
      <c r="AX72" s="15"/>
      <c r="AY72" s="15"/>
      <c r="AZ72" s="15"/>
      <c r="BA72" s="15"/>
      <c r="BB72" s="36"/>
      <c r="BC72" s="36"/>
      <c r="BD72" s="15"/>
      <c r="BE72" s="15"/>
      <c r="BF72" s="15"/>
      <c r="BG72" s="15"/>
      <c r="BH72" s="15"/>
      <c r="BI72" s="15"/>
      <c r="BJ72" s="36"/>
      <c r="BM72" s="36"/>
      <c r="BN72" s="36"/>
      <c r="BO72" s="36"/>
      <c r="BP72" s="36"/>
      <c r="BQ72" s="36"/>
    </row>
    <row r="73" spans="1:69" ht="18" customHeight="1">
      <c r="A73" s="27" t="s">
        <v>538</v>
      </c>
      <c r="B73" s="118">
        <v>6859</v>
      </c>
      <c r="C73" s="118"/>
      <c r="D73" s="36" t="s">
        <v>539</v>
      </c>
      <c r="E73" s="36" t="s">
        <v>540</v>
      </c>
      <c r="F73" s="36"/>
      <c r="G73" s="36" t="s">
        <v>179</v>
      </c>
      <c r="H73" s="35" t="s">
        <v>211</v>
      </c>
      <c r="I73" s="35"/>
      <c r="J73" s="36"/>
      <c r="K73" s="36"/>
      <c r="L73" s="35"/>
      <c r="M73" s="36"/>
      <c r="N73" s="15" t="s">
        <v>223</v>
      </c>
      <c r="O73" s="119" t="s">
        <v>184</v>
      </c>
      <c r="P73" s="36"/>
      <c r="Q73" s="15"/>
      <c r="R73" s="15"/>
      <c r="S73" s="15"/>
      <c r="T73" s="15" t="s">
        <v>138</v>
      </c>
      <c r="U73" s="15" t="s">
        <v>541</v>
      </c>
      <c r="V73" s="36"/>
      <c r="W73" s="36"/>
      <c r="X73" s="35"/>
      <c r="Y73" s="15"/>
      <c r="Z73" s="36"/>
      <c r="AA73" s="15"/>
      <c r="AB73" s="36"/>
      <c r="AC73" s="15"/>
      <c r="AD73" s="15"/>
      <c r="AE73" s="36" t="s">
        <v>150</v>
      </c>
      <c r="AF73" s="15"/>
      <c r="AG73" s="15"/>
      <c r="AH73" s="35"/>
      <c r="AI73" s="35"/>
      <c r="AJ73" s="35"/>
      <c r="AK73" s="35"/>
      <c r="AL73" s="35"/>
      <c r="AM73" s="35"/>
      <c r="AN73" s="35"/>
      <c r="AO73" s="15"/>
      <c r="AP73" s="36" t="s">
        <v>542</v>
      </c>
      <c r="AQ73" s="15"/>
      <c r="AR73" s="35" t="s">
        <v>216</v>
      </c>
      <c r="AS73" s="35" t="s">
        <v>217</v>
      </c>
      <c r="AT73" s="15"/>
      <c r="AU73" s="15"/>
      <c r="AV73" s="15"/>
      <c r="AW73" s="15"/>
      <c r="AX73" s="15"/>
      <c r="AY73" s="15"/>
      <c r="AZ73" s="15"/>
      <c r="BA73" s="15"/>
      <c r="BB73" s="36"/>
      <c r="BC73" s="36"/>
      <c r="BD73" s="15"/>
      <c r="BE73" s="15"/>
      <c r="BF73" s="15"/>
      <c r="BG73" s="15"/>
      <c r="BH73" s="15"/>
      <c r="BI73" s="15"/>
      <c r="BJ73" s="36"/>
      <c r="BM73" s="36"/>
      <c r="BN73" s="36"/>
      <c r="BO73" s="36"/>
      <c r="BP73" s="36"/>
      <c r="BQ73" s="36"/>
    </row>
    <row r="74" spans="1:69" ht="18" customHeight="1">
      <c r="A74" s="27" t="s">
        <v>543</v>
      </c>
      <c r="B74" s="118">
        <v>7558</v>
      </c>
      <c r="C74" s="118"/>
      <c r="D74" s="36" t="s">
        <v>544</v>
      </c>
      <c r="E74" s="36" t="s">
        <v>545</v>
      </c>
      <c r="F74" s="36"/>
      <c r="G74" s="36" t="s">
        <v>179</v>
      </c>
      <c r="H74" s="35" t="s">
        <v>211</v>
      </c>
      <c r="I74" s="35"/>
      <c r="J74" s="36" t="s">
        <v>546</v>
      </c>
      <c r="K74" s="36"/>
      <c r="L74" s="35"/>
      <c r="M74" s="36"/>
      <c r="N74" s="15" t="s">
        <v>223</v>
      </c>
      <c r="O74" s="119" t="s">
        <v>184</v>
      </c>
      <c r="P74" s="36"/>
      <c r="Q74" s="15"/>
      <c r="R74" s="15"/>
      <c r="S74" s="15"/>
      <c r="T74" s="15" t="s">
        <v>138</v>
      </c>
      <c r="U74" s="15" t="s">
        <v>547</v>
      </c>
      <c r="V74" s="36"/>
      <c r="W74" s="36"/>
      <c r="X74" s="35"/>
      <c r="Y74" s="15"/>
      <c r="Z74" s="36"/>
      <c r="AA74" s="15"/>
      <c r="AB74" s="36"/>
      <c r="AC74" s="15"/>
      <c r="AD74" s="15"/>
      <c r="AE74" s="36" t="s">
        <v>150</v>
      </c>
      <c r="AF74" s="15"/>
      <c r="AG74" s="15"/>
      <c r="AH74" s="35"/>
      <c r="AI74" s="35"/>
      <c r="AJ74" s="35"/>
      <c r="AK74" s="35"/>
      <c r="AL74" s="35"/>
      <c r="AM74" s="35"/>
      <c r="AN74" s="35"/>
      <c r="AO74" s="15"/>
      <c r="AP74" s="36" t="s">
        <v>548</v>
      </c>
      <c r="AQ74" s="15"/>
      <c r="AR74" s="35" t="s">
        <v>225</v>
      </c>
      <c r="AS74" s="35" t="s">
        <v>160</v>
      </c>
      <c r="AT74" s="15"/>
      <c r="AU74" s="15"/>
      <c r="AV74" s="15"/>
      <c r="AW74" s="15"/>
      <c r="AX74" s="15"/>
      <c r="AY74" s="15"/>
      <c r="AZ74" s="15"/>
      <c r="BA74" s="15"/>
      <c r="BB74" s="36"/>
      <c r="BC74" s="36"/>
      <c r="BD74" s="15"/>
      <c r="BE74" s="15"/>
      <c r="BF74" s="15"/>
      <c r="BG74" s="15"/>
      <c r="BH74" s="15"/>
      <c r="BI74" s="15"/>
      <c r="BJ74" s="36"/>
      <c r="BM74" s="36"/>
      <c r="BN74" s="36"/>
      <c r="BO74" s="36"/>
      <c r="BP74" s="36"/>
      <c r="BQ74" s="36"/>
    </row>
    <row r="75" spans="1:69" ht="18" customHeight="1">
      <c r="A75" s="27" t="s">
        <v>549</v>
      </c>
      <c r="B75" s="118">
        <v>7814</v>
      </c>
      <c r="C75" s="118"/>
      <c r="D75" s="36" t="s">
        <v>550</v>
      </c>
      <c r="E75" s="36" t="s">
        <v>551</v>
      </c>
      <c r="F75" s="36"/>
      <c r="G75" s="36" t="s">
        <v>179</v>
      </c>
      <c r="H75" s="35" t="s">
        <v>211</v>
      </c>
      <c r="I75" s="35"/>
      <c r="J75" s="36"/>
      <c r="K75" s="36"/>
      <c r="L75" s="35"/>
      <c r="M75" s="36"/>
      <c r="N75" s="15" t="s">
        <v>223</v>
      </c>
      <c r="O75" s="119" t="s">
        <v>184</v>
      </c>
      <c r="P75" s="36"/>
      <c r="Q75" s="15"/>
      <c r="R75" s="15"/>
      <c r="S75" s="15"/>
      <c r="T75" s="15" t="s">
        <v>150</v>
      </c>
      <c r="U75" s="15" t="s">
        <v>216</v>
      </c>
      <c r="V75" s="36"/>
      <c r="W75" s="36"/>
      <c r="X75" s="35"/>
      <c r="Y75" s="15"/>
      <c r="Z75" s="36"/>
      <c r="AA75" s="15"/>
      <c r="AB75" s="36"/>
      <c r="AC75" s="15"/>
      <c r="AD75" s="15"/>
      <c r="AE75" s="36" t="s">
        <v>150</v>
      </c>
      <c r="AF75" s="15"/>
      <c r="AG75" s="15"/>
      <c r="AH75" s="35"/>
      <c r="AI75" s="35"/>
      <c r="AJ75" s="35"/>
      <c r="AK75" s="35"/>
      <c r="AL75" s="35"/>
      <c r="AM75" s="35"/>
      <c r="AN75" s="35"/>
      <c r="AO75" s="15"/>
      <c r="AP75" s="36" t="s">
        <v>552</v>
      </c>
      <c r="AQ75" s="15"/>
      <c r="AR75" s="35" t="s">
        <v>216</v>
      </c>
      <c r="AS75" s="35" t="s">
        <v>216</v>
      </c>
      <c r="AT75" s="15"/>
      <c r="AU75" s="15"/>
      <c r="AV75" s="15"/>
      <c r="AW75" s="15"/>
      <c r="AX75" s="15"/>
      <c r="AY75" s="15"/>
      <c r="AZ75" s="15"/>
      <c r="BA75" s="15"/>
      <c r="BB75" s="36"/>
      <c r="BC75" s="36"/>
      <c r="BD75" s="15"/>
      <c r="BE75" s="15"/>
      <c r="BF75" s="15"/>
      <c r="BG75" s="15"/>
      <c r="BH75" s="15"/>
      <c r="BI75" s="15"/>
      <c r="BJ75" s="36"/>
      <c r="BM75" s="36"/>
      <c r="BN75" s="36"/>
      <c r="BO75" s="36"/>
      <c r="BP75" s="36"/>
      <c r="BQ75" s="36"/>
    </row>
    <row r="76" spans="1:69" ht="18" customHeight="1">
      <c r="A76" s="27" t="s">
        <v>553</v>
      </c>
      <c r="B76" s="118" t="s">
        <v>554</v>
      </c>
      <c r="C76" s="118"/>
      <c r="D76" s="36" t="s">
        <v>555</v>
      </c>
      <c r="E76" s="36" t="s">
        <v>556</v>
      </c>
      <c r="F76" s="36" t="s">
        <v>557</v>
      </c>
      <c r="G76" s="36" t="s">
        <v>179</v>
      </c>
      <c r="H76" s="35" t="s">
        <v>211</v>
      </c>
      <c r="I76" s="35"/>
      <c r="J76" s="36" t="s">
        <v>546</v>
      </c>
      <c r="K76" s="36"/>
      <c r="L76" s="35"/>
      <c r="M76" s="36"/>
      <c r="N76" s="15" t="s">
        <v>223</v>
      </c>
      <c r="O76" s="119" t="s">
        <v>184</v>
      </c>
      <c r="P76" s="36"/>
      <c r="Q76" s="15"/>
      <c r="R76" s="15"/>
      <c r="S76" s="15"/>
      <c r="T76" s="15" t="e">
        <v>#N/A</v>
      </c>
      <c r="U76" s="15" t="e">
        <v>#N/A</v>
      </c>
      <c r="V76" s="36"/>
      <c r="W76" s="36"/>
      <c r="X76" s="35"/>
      <c r="Y76" s="15"/>
      <c r="Z76" s="36"/>
      <c r="AA76" s="15"/>
      <c r="AB76" s="36"/>
      <c r="AC76" s="15"/>
      <c r="AD76" s="15"/>
      <c r="AE76" s="36" t="s">
        <v>150</v>
      </c>
      <c r="AF76" s="15"/>
      <c r="AG76" s="15"/>
      <c r="AH76" s="35"/>
      <c r="AI76" s="35"/>
      <c r="AJ76" s="35"/>
      <c r="AK76" s="35"/>
      <c r="AL76" s="35"/>
      <c r="AM76" s="35"/>
      <c r="AN76" s="35"/>
      <c r="AO76" s="15"/>
      <c r="AP76" s="36" t="s">
        <v>216</v>
      </c>
      <c r="AQ76" s="15"/>
      <c r="AR76" s="35" t="e">
        <v>#N/A</v>
      </c>
      <c r="AS76" s="35" t="e">
        <v>#N/A</v>
      </c>
      <c r="AT76" s="15"/>
      <c r="AU76" s="15"/>
      <c r="AV76" s="15"/>
      <c r="AW76" s="15"/>
      <c r="AX76" s="15"/>
      <c r="AY76" s="15"/>
      <c r="AZ76" s="15"/>
      <c r="BA76" s="15"/>
      <c r="BB76" s="36"/>
      <c r="BC76" s="36"/>
      <c r="BD76" s="15"/>
      <c r="BE76" s="15"/>
      <c r="BF76" s="15"/>
      <c r="BG76" s="15"/>
      <c r="BH76" s="15"/>
      <c r="BI76" s="15"/>
      <c r="BJ76" s="36"/>
      <c r="BM76" s="36"/>
      <c r="BN76" s="36"/>
      <c r="BO76" s="36"/>
      <c r="BP76" s="36"/>
      <c r="BQ76" s="36"/>
    </row>
    <row r="77" spans="1:69" ht="18" customHeight="1">
      <c r="A77" s="27" t="s">
        <v>558</v>
      </c>
      <c r="B77" s="118" t="s">
        <v>559</v>
      </c>
      <c r="C77" s="118"/>
      <c r="D77" s="36" t="s">
        <v>560</v>
      </c>
      <c r="E77" s="36" t="s">
        <v>561</v>
      </c>
      <c r="F77" s="36"/>
      <c r="G77" s="36" t="s">
        <v>179</v>
      </c>
      <c r="H77" s="35" t="s">
        <v>211</v>
      </c>
      <c r="I77" s="35"/>
      <c r="J77" s="36"/>
      <c r="K77" s="36"/>
      <c r="L77" s="35"/>
      <c r="M77" s="36"/>
      <c r="N77" s="15" t="s">
        <v>212</v>
      </c>
      <c r="O77" s="119" t="s">
        <v>184</v>
      </c>
      <c r="P77" s="36"/>
      <c r="Q77" s="15"/>
      <c r="R77" s="15"/>
      <c r="S77" s="15"/>
      <c r="T77" s="15" t="e">
        <v>#N/A</v>
      </c>
      <c r="U77" s="15" t="e">
        <v>#N/A</v>
      </c>
      <c r="V77" s="36"/>
      <c r="W77" s="36"/>
      <c r="X77" s="35"/>
      <c r="Y77" s="15"/>
      <c r="Z77" s="36"/>
      <c r="AA77" s="15"/>
      <c r="AB77" s="36"/>
      <c r="AC77" s="15"/>
      <c r="AD77" s="15"/>
      <c r="AE77" s="36" t="s">
        <v>150</v>
      </c>
      <c r="AF77" s="15"/>
      <c r="AG77" s="15"/>
      <c r="AH77" s="35"/>
      <c r="AI77" s="35"/>
      <c r="AJ77" s="35"/>
      <c r="AK77" s="35"/>
      <c r="AL77" s="35"/>
      <c r="AM77" s="35"/>
      <c r="AN77" s="35"/>
      <c r="AO77" s="15"/>
      <c r="AP77" s="36" t="s">
        <v>216</v>
      </c>
      <c r="AQ77" s="15"/>
      <c r="AR77" s="35" t="e">
        <v>#N/A</v>
      </c>
      <c r="AS77" s="35" t="e">
        <v>#N/A</v>
      </c>
      <c r="AT77" s="15"/>
      <c r="AU77" s="15"/>
      <c r="AV77" s="15"/>
      <c r="AW77" s="15"/>
      <c r="AX77" s="15"/>
      <c r="AY77" s="15"/>
      <c r="AZ77" s="15"/>
      <c r="BA77" s="15"/>
      <c r="BB77" s="36"/>
      <c r="BC77" s="36"/>
      <c r="BD77" s="15"/>
      <c r="BE77" s="15"/>
      <c r="BF77" s="15"/>
      <c r="BG77" s="15"/>
      <c r="BH77" s="15"/>
      <c r="BI77" s="15"/>
      <c r="BJ77" s="36"/>
      <c r="BM77" s="36"/>
      <c r="BN77" s="36"/>
      <c r="BO77" s="36"/>
      <c r="BP77" s="36"/>
      <c r="BQ77" s="36"/>
    </row>
    <row r="78" spans="1:69" ht="18" customHeight="1">
      <c r="A78" s="27" t="s">
        <v>562</v>
      </c>
      <c r="B78" s="118" t="s">
        <v>563</v>
      </c>
      <c r="C78" s="118"/>
      <c r="D78" s="36" t="s">
        <v>564</v>
      </c>
      <c r="E78" s="36" t="s">
        <v>565</v>
      </c>
      <c r="F78" s="36"/>
      <c r="G78" s="36" t="s">
        <v>179</v>
      </c>
      <c r="H78" s="35" t="s">
        <v>211</v>
      </c>
      <c r="I78" s="35"/>
      <c r="J78" s="36"/>
      <c r="K78" s="36"/>
      <c r="L78" s="35"/>
      <c r="M78" s="36"/>
      <c r="N78" s="15" t="s">
        <v>212</v>
      </c>
      <c r="O78" s="119" t="s">
        <v>184</v>
      </c>
      <c r="P78" s="36"/>
      <c r="Q78" s="15"/>
      <c r="R78" s="15"/>
      <c r="S78" s="15"/>
      <c r="T78" s="15" t="e">
        <v>#N/A</v>
      </c>
      <c r="U78" s="15" t="e">
        <v>#N/A</v>
      </c>
      <c r="V78" s="36"/>
      <c r="W78" s="36"/>
      <c r="X78" s="35"/>
      <c r="Y78" s="15"/>
      <c r="Z78" s="36"/>
      <c r="AA78" s="15"/>
      <c r="AB78" s="36"/>
      <c r="AC78" s="15"/>
      <c r="AD78" s="15"/>
      <c r="AE78" s="36" t="s">
        <v>150</v>
      </c>
      <c r="AF78" s="15"/>
      <c r="AG78" s="15"/>
      <c r="AH78" s="35"/>
      <c r="AI78" s="35"/>
      <c r="AJ78" s="35"/>
      <c r="AK78" s="35"/>
      <c r="AL78" s="35"/>
      <c r="AM78" s="35"/>
      <c r="AN78" s="35"/>
      <c r="AO78" s="15"/>
      <c r="AP78" s="36" t="s">
        <v>216</v>
      </c>
      <c r="AQ78" s="15"/>
      <c r="AR78" s="35" t="e">
        <v>#N/A</v>
      </c>
      <c r="AS78" s="35" t="e">
        <v>#N/A</v>
      </c>
      <c r="AT78" s="15"/>
      <c r="AU78" s="15"/>
      <c r="AV78" s="15"/>
      <c r="AW78" s="15"/>
      <c r="AX78" s="15"/>
      <c r="AY78" s="15"/>
      <c r="AZ78" s="15"/>
      <c r="BA78" s="15"/>
      <c r="BB78" s="36"/>
      <c r="BC78" s="36"/>
      <c r="BD78" s="15"/>
      <c r="BE78" s="15"/>
      <c r="BF78" s="15"/>
      <c r="BG78" s="15"/>
      <c r="BH78" s="15"/>
      <c r="BI78" s="15"/>
      <c r="BJ78" s="36"/>
      <c r="BM78" s="36"/>
      <c r="BN78" s="36"/>
      <c r="BO78" s="36"/>
      <c r="BP78" s="36"/>
      <c r="BQ78" s="36"/>
    </row>
    <row r="79" spans="1:69" ht="18" customHeight="1">
      <c r="A79" s="27" t="s">
        <v>566</v>
      </c>
      <c r="B79" s="118" t="s">
        <v>567</v>
      </c>
      <c r="C79" s="118"/>
      <c r="D79" s="36" t="s">
        <v>568</v>
      </c>
      <c r="E79" s="36" t="s">
        <v>569</v>
      </c>
      <c r="F79" s="36"/>
      <c r="G79" s="36" t="s">
        <v>179</v>
      </c>
      <c r="H79" s="35" t="s">
        <v>211</v>
      </c>
      <c r="I79" s="35"/>
      <c r="J79" s="36"/>
      <c r="K79" s="36"/>
      <c r="L79" s="35"/>
      <c r="M79" s="36"/>
      <c r="N79" s="15" t="s">
        <v>223</v>
      </c>
      <c r="O79" s="119" t="s">
        <v>309</v>
      </c>
      <c r="P79" s="36"/>
      <c r="Q79" s="15"/>
      <c r="R79" s="15"/>
      <c r="S79" s="15"/>
      <c r="T79" s="15" t="e">
        <v>#N/A</v>
      </c>
      <c r="U79" s="15" t="e">
        <v>#N/A</v>
      </c>
      <c r="V79" s="36"/>
      <c r="W79" s="36"/>
      <c r="X79" s="35"/>
      <c r="Y79" s="15"/>
      <c r="Z79" s="36"/>
      <c r="AA79" s="15"/>
      <c r="AB79" s="36"/>
      <c r="AC79" s="15"/>
      <c r="AD79" s="15"/>
      <c r="AE79" s="36" t="s">
        <v>138</v>
      </c>
      <c r="AF79" s="15"/>
      <c r="AG79" s="15"/>
      <c r="AH79" s="35"/>
      <c r="AI79" s="35"/>
      <c r="AJ79" s="35"/>
      <c r="AK79" s="35"/>
      <c r="AL79" s="35"/>
      <c r="AM79" s="35"/>
      <c r="AN79" s="35"/>
      <c r="AO79" s="15"/>
      <c r="AP79" s="36" t="s">
        <v>372</v>
      </c>
      <c r="AQ79" s="15"/>
      <c r="AR79" s="35" t="e">
        <v>#N/A</v>
      </c>
      <c r="AS79" s="35" t="e">
        <v>#N/A</v>
      </c>
      <c r="AT79" s="15"/>
      <c r="AU79" s="15"/>
      <c r="AV79" s="15"/>
      <c r="AW79" s="15"/>
      <c r="AX79" s="15"/>
      <c r="AY79" s="15"/>
      <c r="AZ79" s="15"/>
      <c r="BA79" s="15"/>
      <c r="BB79" s="36"/>
      <c r="BC79" s="36"/>
      <c r="BD79" s="15"/>
      <c r="BE79" s="15"/>
      <c r="BF79" s="15"/>
      <c r="BG79" s="15"/>
      <c r="BH79" s="15"/>
      <c r="BI79" s="15"/>
      <c r="BJ79" s="36"/>
      <c r="BM79" s="36"/>
      <c r="BN79" s="36"/>
      <c r="BO79" s="36"/>
      <c r="BP79" s="36"/>
      <c r="BQ79" s="36"/>
    </row>
    <row r="80" spans="1:69" ht="18" customHeight="1">
      <c r="A80" s="27" t="s">
        <v>570</v>
      </c>
      <c r="B80" s="118" t="s">
        <v>571</v>
      </c>
      <c r="C80" s="118"/>
      <c r="D80" s="36" t="s">
        <v>572</v>
      </c>
      <c r="E80" s="36" t="s">
        <v>573</v>
      </c>
      <c r="F80" s="36"/>
      <c r="G80" s="36" t="s">
        <v>179</v>
      </c>
      <c r="H80" s="35" t="s">
        <v>211</v>
      </c>
      <c r="I80" s="35"/>
      <c r="J80" s="36"/>
      <c r="K80" s="36"/>
      <c r="L80" s="35"/>
      <c r="M80" s="36"/>
      <c r="N80" s="15" t="s">
        <v>212</v>
      </c>
      <c r="O80" s="119" t="s">
        <v>184</v>
      </c>
      <c r="P80" s="36"/>
      <c r="Q80" s="15"/>
      <c r="R80" s="15"/>
      <c r="S80" s="15"/>
      <c r="T80" s="15" t="e">
        <v>#N/A</v>
      </c>
      <c r="U80" s="15" t="e">
        <v>#N/A</v>
      </c>
      <c r="V80" s="36"/>
      <c r="W80" s="36"/>
      <c r="X80" s="35"/>
      <c r="Y80" s="15"/>
      <c r="Z80" s="36"/>
      <c r="AA80" s="15"/>
      <c r="AB80" s="36"/>
      <c r="AC80" s="15"/>
      <c r="AD80" s="15"/>
      <c r="AE80" s="36" t="s">
        <v>150</v>
      </c>
      <c r="AF80" s="15"/>
      <c r="AG80" s="15"/>
      <c r="AH80" s="35"/>
      <c r="AI80" s="35"/>
      <c r="AJ80" s="35"/>
      <c r="AK80" s="35"/>
      <c r="AL80" s="35"/>
      <c r="AM80" s="35"/>
      <c r="AN80" s="35"/>
      <c r="AO80" s="15"/>
      <c r="AP80" s="36" t="s">
        <v>216</v>
      </c>
      <c r="AQ80" s="15"/>
      <c r="AR80" s="35" t="e">
        <v>#N/A</v>
      </c>
      <c r="AS80" s="35" t="e">
        <v>#N/A</v>
      </c>
      <c r="AT80" s="15"/>
      <c r="AU80" s="15"/>
      <c r="AV80" s="15"/>
      <c r="AW80" s="15"/>
      <c r="AX80" s="15"/>
      <c r="AY80" s="15"/>
      <c r="AZ80" s="15"/>
      <c r="BA80" s="15"/>
      <c r="BB80" s="36"/>
      <c r="BC80" s="36"/>
      <c r="BD80" s="15"/>
      <c r="BE80" s="15"/>
      <c r="BF80" s="15"/>
      <c r="BG80" s="15"/>
      <c r="BH80" s="15"/>
      <c r="BI80" s="15"/>
      <c r="BJ80" s="36"/>
      <c r="BM80" s="36"/>
      <c r="BN80" s="36"/>
      <c r="BO80" s="36"/>
      <c r="BP80" s="36"/>
      <c r="BQ80" s="36"/>
    </row>
    <row r="81" spans="1:69" ht="18" customHeight="1">
      <c r="A81" s="27" t="s">
        <v>574</v>
      </c>
      <c r="B81" s="118" t="s">
        <v>575</v>
      </c>
      <c r="C81" s="118"/>
      <c r="D81" s="36" t="s">
        <v>576</v>
      </c>
      <c r="E81" s="36" t="s">
        <v>577</v>
      </c>
      <c r="F81" s="36"/>
      <c r="G81" s="36" t="s">
        <v>179</v>
      </c>
      <c r="H81" s="35" t="s">
        <v>211</v>
      </c>
      <c r="I81" s="35"/>
      <c r="J81" s="36"/>
      <c r="K81" s="36"/>
      <c r="L81" s="35"/>
      <c r="M81" s="36"/>
      <c r="N81" s="15" t="s">
        <v>212</v>
      </c>
      <c r="O81" s="119" t="s">
        <v>184</v>
      </c>
      <c r="P81" s="36"/>
      <c r="Q81" s="15"/>
      <c r="R81" s="15"/>
      <c r="S81" s="15"/>
      <c r="T81" s="15" t="e">
        <v>#N/A</v>
      </c>
      <c r="U81" s="15" t="e">
        <v>#N/A</v>
      </c>
      <c r="V81" s="36"/>
      <c r="W81" s="36"/>
      <c r="X81" s="35"/>
      <c r="Y81" s="15"/>
      <c r="Z81" s="36"/>
      <c r="AA81" s="15"/>
      <c r="AB81" s="36"/>
      <c r="AC81" s="15"/>
      <c r="AD81" s="15"/>
      <c r="AE81" s="36" t="s">
        <v>150</v>
      </c>
      <c r="AF81" s="15"/>
      <c r="AG81" s="15"/>
      <c r="AH81" s="35"/>
      <c r="AI81" s="35"/>
      <c r="AJ81" s="35"/>
      <c r="AK81" s="35"/>
      <c r="AL81" s="35"/>
      <c r="AM81" s="35"/>
      <c r="AN81" s="35"/>
      <c r="AO81" s="15"/>
      <c r="AP81" s="36" t="s">
        <v>216</v>
      </c>
      <c r="AQ81" s="15"/>
      <c r="AR81" s="35" t="e">
        <v>#N/A</v>
      </c>
      <c r="AS81" s="35" t="e">
        <v>#N/A</v>
      </c>
      <c r="AT81" s="15"/>
      <c r="AU81" s="15"/>
      <c r="AV81" s="15"/>
      <c r="AW81" s="15"/>
      <c r="AX81" s="15"/>
      <c r="AY81" s="15"/>
      <c r="AZ81" s="15"/>
      <c r="BA81" s="15"/>
      <c r="BB81" s="36"/>
      <c r="BC81" s="36"/>
      <c r="BD81" s="15"/>
      <c r="BE81" s="15"/>
      <c r="BF81" s="15"/>
      <c r="BG81" s="15"/>
      <c r="BH81" s="15"/>
      <c r="BI81" s="15"/>
      <c r="BJ81" s="36"/>
      <c r="BM81" s="36"/>
      <c r="BN81" s="36"/>
      <c r="BO81" s="36"/>
      <c r="BP81" s="36"/>
      <c r="BQ81" s="36"/>
    </row>
    <row r="82" spans="1:69" ht="18" customHeight="1">
      <c r="A82" s="27" t="s">
        <v>578</v>
      </c>
      <c r="B82" s="118" t="s">
        <v>579</v>
      </c>
      <c r="C82" s="118"/>
      <c r="D82" s="36" t="s">
        <v>580</v>
      </c>
      <c r="E82" s="36" t="s">
        <v>581</v>
      </c>
      <c r="F82" s="36"/>
      <c r="G82" s="36" t="s">
        <v>179</v>
      </c>
      <c r="H82" s="35" t="s">
        <v>211</v>
      </c>
      <c r="I82" s="35"/>
      <c r="J82" s="36"/>
      <c r="K82" s="36"/>
      <c r="L82" s="35"/>
      <c r="M82" s="36"/>
      <c r="N82" s="15" t="s">
        <v>223</v>
      </c>
      <c r="O82" s="119" t="s">
        <v>309</v>
      </c>
      <c r="P82" s="36"/>
      <c r="Q82" s="15"/>
      <c r="R82" s="15"/>
      <c r="S82" s="15"/>
      <c r="T82" s="15" t="e">
        <v>#N/A</v>
      </c>
      <c r="U82" s="15" t="e">
        <v>#N/A</v>
      </c>
      <c r="V82" s="36"/>
      <c r="W82" s="36"/>
      <c r="X82" s="35"/>
      <c r="Y82" s="15"/>
      <c r="Z82" s="36"/>
      <c r="AA82" s="15"/>
      <c r="AB82" s="36"/>
      <c r="AC82" s="15"/>
      <c r="AD82" s="15"/>
      <c r="AE82" s="36" t="s">
        <v>138</v>
      </c>
      <c r="AF82" s="15"/>
      <c r="AG82" s="15"/>
      <c r="AH82" s="35"/>
      <c r="AI82" s="35"/>
      <c r="AJ82" s="35"/>
      <c r="AK82" s="35"/>
      <c r="AL82" s="35"/>
      <c r="AM82" s="35"/>
      <c r="AN82" s="35"/>
      <c r="AO82" s="15"/>
      <c r="AP82" s="36" t="s">
        <v>216</v>
      </c>
      <c r="AQ82" s="15"/>
      <c r="AR82" s="35" t="e">
        <v>#N/A</v>
      </c>
      <c r="AS82" s="35" t="e">
        <v>#N/A</v>
      </c>
      <c r="AT82" s="15"/>
      <c r="AU82" s="15"/>
      <c r="AV82" s="15"/>
      <c r="AW82" s="15"/>
      <c r="AX82" s="15"/>
      <c r="AY82" s="15"/>
      <c r="AZ82" s="15"/>
      <c r="BA82" s="15"/>
      <c r="BB82" s="36"/>
      <c r="BC82" s="36"/>
      <c r="BD82" s="15"/>
      <c r="BE82" s="15"/>
      <c r="BF82" s="15"/>
      <c r="BG82" s="15"/>
      <c r="BH82" s="15"/>
      <c r="BI82" s="15"/>
      <c r="BJ82" s="36"/>
      <c r="BM82" s="36"/>
      <c r="BN82" s="36"/>
      <c r="BO82" s="36"/>
      <c r="BP82" s="36"/>
      <c r="BQ82" s="36"/>
    </row>
    <row r="83" spans="1:69" ht="18" customHeight="1">
      <c r="A83" s="27" t="s">
        <v>582</v>
      </c>
      <c r="B83" s="118" t="s">
        <v>583</v>
      </c>
      <c r="C83" s="118"/>
      <c r="D83" s="36" t="s">
        <v>584</v>
      </c>
      <c r="E83" s="36" t="s">
        <v>585</v>
      </c>
      <c r="F83" s="36"/>
      <c r="G83" s="36" t="s">
        <v>179</v>
      </c>
      <c r="H83" s="35" t="s">
        <v>211</v>
      </c>
      <c r="I83" s="35"/>
      <c r="J83" s="36"/>
      <c r="K83" s="36"/>
      <c r="L83" s="35"/>
      <c r="M83" s="36"/>
      <c r="N83" s="15" t="s">
        <v>212</v>
      </c>
      <c r="O83" s="119" t="s">
        <v>184</v>
      </c>
      <c r="P83" s="36"/>
      <c r="Q83" s="15"/>
      <c r="R83" s="15"/>
      <c r="S83" s="15"/>
      <c r="T83" s="15" t="e">
        <v>#N/A</v>
      </c>
      <c r="U83" s="15" t="e">
        <v>#N/A</v>
      </c>
      <c r="V83" s="36"/>
      <c r="W83" s="36"/>
      <c r="X83" s="35"/>
      <c r="Y83" s="15"/>
      <c r="Z83" s="36"/>
      <c r="AA83" s="15"/>
      <c r="AB83" s="36"/>
      <c r="AC83" s="15"/>
      <c r="AD83" s="15"/>
      <c r="AE83" s="36" t="s">
        <v>150</v>
      </c>
      <c r="AF83" s="15"/>
      <c r="AG83" s="15"/>
      <c r="AH83" s="35"/>
      <c r="AI83" s="35"/>
      <c r="AJ83" s="35"/>
      <c r="AK83" s="35"/>
      <c r="AL83" s="35"/>
      <c r="AM83" s="35"/>
      <c r="AN83" s="35"/>
      <c r="AO83" s="15"/>
      <c r="AP83" s="36" t="s">
        <v>216</v>
      </c>
      <c r="AQ83" s="15"/>
      <c r="AR83" s="35" t="e">
        <v>#N/A</v>
      </c>
      <c r="AS83" s="35" t="e">
        <v>#N/A</v>
      </c>
      <c r="AT83" s="15"/>
      <c r="AU83" s="15"/>
      <c r="AV83" s="15"/>
      <c r="AW83" s="15"/>
      <c r="AX83" s="15"/>
      <c r="AY83" s="15"/>
      <c r="AZ83" s="15"/>
      <c r="BA83" s="15"/>
      <c r="BB83" s="36"/>
      <c r="BC83" s="36"/>
      <c r="BD83" s="15"/>
      <c r="BE83" s="15"/>
      <c r="BF83" s="15"/>
      <c r="BG83" s="15"/>
      <c r="BH83" s="15"/>
      <c r="BI83" s="15"/>
      <c r="BJ83" s="36"/>
      <c r="BM83" s="36"/>
      <c r="BN83" s="36"/>
      <c r="BO83" s="36"/>
      <c r="BP83" s="36"/>
      <c r="BQ83" s="36"/>
    </row>
    <row r="84" spans="1:69" ht="18" customHeight="1">
      <c r="A84" s="27" t="s">
        <v>586</v>
      </c>
      <c r="B84" s="118" t="s">
        <v>587</v>
      </c>
      <c r="C84" s="118"/>
      <c r="D84" s="36" t="s">
        <v>588</v>
      </c>
      <c r="E84" s="36" t="s">
        <v>589</v>
      </c>
      <c r="F84" s="36" t="s">
        <v>438</v>
      </c>
      <c r="G84" s="36" t="s">
        <v>132</v>
      </c>
      <c r="H84" s="35" t="s">
        <v>211</v>
      </c>
      <c r="I84" s="35"/>
      <c r="J84" s="36" t="s">
        <v>229</v>
      </c>
      <c r="K84" s="36"/>
      <c r="L84" s="35"/>
      <c r="M84" s="36"/>
      <c r="N84" s="15" t="s">
        <v>223</v>
      </c>
      <c r="O84" s="119" t="s">
        <v>184</v>
      </c>
      <c r="P84" s="36"/>
      <c r="Q84" s="15"/>
      <c r="R84" s="15"/>
      <c r="S84" s="15"/>
      <c r="T84" s="15" t="e">
        <v>#N/A</v>
      </c>
      <c r="U84" s="15" t="e">
        <v>#N/A</v>
      </c>
      <c r="V84" s="36"/>
      <c r="W84" s="36"/>
      <c r="X84" s="35"/>
      <c r="Y84" s="15"/>
      <c r="Z84" s="36"/>
      <c r="AA84" s="15"/>
      <c r="AB84" s="36"/>
      <c r="AC84" s="15"/>
      <c r="AD84" s="15"/>
      <c r="AE84" s="36" t="s">
        <v>138</v>
      </c>
      <c r="AF84" s="15"/>
      <c r="AG84" s="15"/>
      <c r="AH84" s="35"/>
      <c r="AI84" s="35"/>
      <c r="AJ84" s="35"/>
      <c r="AK84" s="35"/>
      <c r="AL84" s="35"/>
      <c r="AM84" s="35"/>
      <c r="AN84" s="35"/>
      <c r="AO84" s="15"/>
      <c r="AP84" s="36" t="s">
        <v>215</v>
      </c>
      <c r="AQ84" s="15"/>
      <c r="AR84" s="35" t="e">
        <v>#N/A</v>
      </c>
      <c r="AS84" s="35" t="e">
        <v>#N/A</v>
      </c>
      <c r="AT84" s="15"/>
      <c r="AU84" s="15"/>
      <c r="AV84" s="15"/>
      <c r="AW84" s="15"/>
      <c r="AX84" s="15"/>
      <c r="AY84" s="15"/>
      <c r="AZ84" s="15"/>
      <c r="BA84" s="15"/>
      <c r="BB84" s="36"/>
      <c r="BC84" s="36"/>
      <c r="BD84" s="15"/>
      <c r="BE84" s="15"/>
      <c r="BF84" s="15"/>
      <c r="BG84" s="15"/>
      <c r="BH84" s="15"/>
      <c r="BI84" s="15"/>
      <c r="BJ84" s="36"/>
      <c r="BM84" s="36"/>
      <c r="BN84" s="36"/>
      <c r="BO84" s="36"/>
      <c r="BP84" s="36"/>
      <c r="BQ84" s="36"/>
    </row>
    <row r="85" spans="1:69" ht="18" customHeight="1">
      <c r="A85" s="27" t="s">
        <v>590</v>
      </c>
      <c r="B85" s="118" t="s">
        <v>591</v>
      </c>
      <c r="C85" s="118"/>
      <c r="D85" s="36" t="s">
        <v>592</v>
      </c>
      <c r="E85" s="36" t="s">
        <v>593</v>
      </c>
      <c r="F85" s="36" t="s">
        <v>221</v>
      </c>
      <c r="G85" s="36" t="s">
        <v>132</v>
      </c>
      <c r="H85" s="35" t="s">
        <v>211</v>
      </c>
      <c r="I85" s="35"/>
      <c r="J85" s="36" t="s">
        <v>229</v>
      </c>
      <c r="K85" s="36"/>
      <c r="L85" s="35"/>
      <c r="M85" s="36"/>
      <c r="N85" s="15" t="s">
        <v>223</v>
      </c>
      <c r="O85" s="119" t="s">
        <v>276</v>
      </c>
      <c r="P85" s="36"/>
      <c r="Q85" s="15"/>
      <c r="R85" s="15"/>
      <c r="S85" s="15"/>
      <c r="T85" s="15" t="s">
        <v>138</v>
      </c>
      <c r="U85" s="15" t="s">
        <v>594</v>
      </c>
      <c r="V85" s="36"/>
      <c r="W85" s="36"/>
      <c r="X85" s="35"/>
      <c r="Y85" s="15"/>
      <c r="Z85" s="36"/>
      <c r="AA85" s="15"/>
      <c r="AB85" s="36"/>
      <c r="AC85" s="15"/>
      <c r="AD85" s="15"/>
      <c r="AE85" s="36" t="s">
        <v>150</v>
      </c>
      <c r="AF85" s="15"/>
      <c r="AG85" s="15"/>
      <c r="AH85" s="35"/>
      <c r="AI85" s="35"/>
      <c r="AJ85" s="35"/>
      <c r="AK85" s="35"/>
      <c r="AL85" s="35"/>
      <c r="AM85" s="35"/>
      <c r="AN85" s="35"/>
      <c r="AO85" s="15"/>
      <c r="AP85" s="36" t="s">
        <v>215</v>
      </c>
      <c r="AQ85" s="15"/>
      <c r="AR85" s="35">
        <v>0</v>
      </c>
      <c r="AS85" s="35" t="s">
        <v>160</v>
      </c>
      <c r="AT85" s="15"/>
      <c r="AU85" s="15"/>
      <c r="AV85" s="15"/>
      <c r="AW85" s="15"/>
      <c r="AX85" s="15"/>
      <c r="AY85" s="15"/>
      <c r="AZ85" s="15"/>
      <c r="BA85" s="15"/>
      <c r="BB85" s="36"/>
      <c r="BC85" s="36"/>
      <c r="BD85" s="15"/>
      <c r="BE85" s="15"/>
      <c r="BF85" s="15"/>
      <c r="BG85" s="15"/>
      <c r="BH85" s="15"/>
      <c r="BI85" s="15"/>
      <c r="BJ85" s="36"/>
      <c r="BM85" s="36"/>
      <c r="BN85" s="36"/>
      <c r="BO85" s="36"/>
      <c r="BP85" s="36"/>
      <c r="BQ85" s="36"/>
    </row>
  </sheetData>
  <autoFilter ref="A2:BQ85" xr:uid="{EF2814F7-4284-450D-94F6-57EEAE5A261B}"/>
  <mergeCells count="8">
    <mergeCell ref="BJ1:BM1"/>
    <mergeCell ref="BN1:BP1"/>
    <mergeCell ref="B1:W1"/>
    <mergeCell ref="X1:AC1"/>
    <mergeCell ref="AD1:AN1"/>
    <mergeCell ref="AO1:AX1"/>
    <mergeCell ref="AY1:BA1"/>
    <mergeCell ref="BB1:BI1"/>
  </mergeCells>
  <dataValidations count="2">
    <dataValidation type="list" allowBlank="1" showInputMessage="1" showErrorMessage="1" sqref="AD7:AD85" xr:uid="{FA58C349-E36C-4E7F-9725-E8955DE81AEC}">
      <formula1>"Single, Part of Group"</formula1>
    </dataValidation>
    <dataValidation type="list" allowBlank="1" showInputMessage="1" showErrorMessage="1" sqref="BH7:BH85" xr:uid="{E3B6AFA9-C7B2-45B3-8C02-3D3EA57DCAEF}">
      <formula1>"Shared, Dedicated"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7">
        <x14:dataValidation type="list" allowBlank="1" showInputMessage="1" showErrorMessage="1" xr:uid="{37C21AD5-2EAF-40CC-A482-35609622536E}">
          <x14:formula1>
            <xm:f>'Reference - to hide'!$M$3:$M$6</xm:f>
          </x14:formula1>
          <xm:sqref>BF7:BF85</xm:sqref>
        </x14:dataValidation>
        <x14:dataValidation type="list" allowBlank="1" showInputMessage="1" showErrorMessage="1" xr:uid="{6B838644-0FAF-41ED-B011-C7AEFD7334EA}">
          <x14:formula1>
            <xm:f>'Reference - to hide'!$W$3:$W$6</xm:f>
          </x14:formula1>
          <xm:sqref>AT7:AT85</xm:sqref>
        </x14:dataValidation>
        <x14:dataValidation type="list" allowBlank="1" showInputMessage="1" showErrorMessage="1" xr:uid="{07AB753C-D784-431E-9A62-B7242C228B28}">
          <x14:formula1>
            <xm:f>'Reference - to hide'!$AC$3:$AC$7</xm:f>
          </x14:formula1>
          <xm:sqref>AO7:AO85</xm:sqref>
        </x14:dataValidation>
        <x14:dataValidation type="list" allowBlank="1" showInputMessage="1" showErrorMessage="1" xr:uid="{7CCBF93A-48AF-4AE8-93FA-C6BD16E9FB64}">
          <x14:formula1>
            <xm:f>'Reference - to hide'!$AB$3:$AB$6</xm:f>
          </x14:formula1>
          <xm:sqref>AC7:AC85</xm:sqref>
        </x14:dataValidation>
        <x14:dataValidation type="list" allowBlank="1" showInputMessage="1" showErrorMessage="1" xr:uid="{9B97B71A-401E-438C-913D-D61D1F351B8D}">
          <x14:formula1>
            <xm:f>'Reference - to hide'!$U$3:$U$5</xm:f>
          </x14:formula1>
          <xm:sqref>AV7:AV85</xm:sqref>
        </x14:dataValidation>
        <x14:dataValidation type="list" allowBlank="1" showInputMessage="1" showErrorMessage="1" xr:uid="{9CB2B5F7-8F14-4963-B1EC-4259992F95ED}">
          <x14:formula1>
            <xm:f>'Reference - to hide'!$Y$3:$Y$4</xm:f>
          </x14:formula1>
          <xm:sqref>AF7:AG85 AQ7:AQ85</xm:sqref>
        </x14:dataValidation>
        <x14:dataValidation type="list" allowBlank="1" showInputMessage="1" showErrorMessage="1" xr:uid="{5B42A8A3-1B7F-472B-AFCB-DC5E7B7890B0}">
          <x14:formula1>
            <xm:f>'Reference - to hide'!$AA$3:$AA$7</xm:f>
          </x14:formula1>
          <xm:sqref>Y7:Y85</xm:sqref>
        </x14:dataValidation>
        <x14:dataValidation type="list" allowBlank="1" showInputMessage="1" showErrorMessage="1" xr:uid="{0288A1A2-8F5E-4438-BDC7-0F27501EF2AD}">
          <x14:formula1>
            <xm:f>'Reference - to hide'!$Z$3:$Z$5</xm:f>
          </x14:formula1>
          <xm:sqref>AV7:AV85</xm:sqref>
        </x14:dataValidation>
        <x14:dataValidation type="list" allowBlank="1" showInputMessage="1" showErrorMessage="1" xr:uid="{7F405B7B-A4BF-4935-915E-09850395F80F}">
          <x14:formula1>
            <xm:f>'Reference - to hide'!$N$3:$N$6</xm:f>
          </x14:formula1>
          <xm:sqref>BG7:BG85</xm:sqref>
        </x14:dataValidation>
        <x14:dataValidation type="list" allowBlank="1" showInputMessage="1" showErrorMessage="1" xr:uid="{C029101A-8C87-4F1C-AD70-766D22184160}">
          <x14:formula1>
            <xm:f>'Reference - to hide'!$F$3:$F$5</xm:f>
          </x14:formula1>
          <xm:sqref>L7:L85</xm:sqref>
        </x14:dataValidation>
        <x14:dataValidation type="list" allowBlank="1" showInputMessage="1" showErrorMessage="1" xr:uid="{A2F16286-21E4-4084-A789-C105C7F6F577}">
          <x14:formula1>
            <xm:f>'Reference - to hide'!$AB$3:$AB$7</xm:f>
          </x14:formula1>
          <xm:sqref>R7:R85 S7:S24</xm:sqref>
        </x14:dataValidation>
        <x14:dataValidation type="list" allowBlank="1" showInputMessage="1" showErrorMessage="1" xr:uid="{DA1B97CE-2C50-4F00-8919-6603FB200897}">
          <x14:formula1>
            <xm:f>'Reference - to hide'!$L$3:$L$7</xm:f>
          </x14:formula1>
          <xm:sqref>BB7:BC13</xm:sqref>
        </x14:dataValidation>
        <x14:dataValidation type="list" allowBlank="1" showInputMessage="1" showErrorMessage="1" xr:uid="{B76D1198-F37D-4FC7-AB36-6BAE6D49951C}">
          <x14:formula1>
            <xm:f>'Reference - to hide'!$J$3:$J$7</xm:f>
          </x14:formula1>
          <xm:sqref>Z7:Z13</xm:sqref>
        </x14:dataValidation>
        <x14:dataValidation type="list" allowBlank="1" showInputMessage="1" showErrorMessage="1" xr:uid="{5E955CC1-B25B-423B-B9B8-564E00C987BF}">
          <x14:formula1>
            <xm:f>'Reference - to hide'!$I$3:$I$7</xm:f>
          </x14:formula1>
          <xm:sqref>AP7:AP13</xm:sqref>
        </x14:dataValidation>
        <x14:dataValidation type="list" allowBlank="1" showInputMessage="1" showErrorMessage="1" xr:uid="{D37B7927-F52F-416C-9847-82B8C09C07D3}">
          <x14:formula1>
            <xm:f>'Reference - to hide'!$G$3:$G$5</xm:f>
          </x14:formula1>
          <xm:sqref>BP7:BP13 BE7:BE85 AA7:AA85</xm:sqref>
        </x14:dataValidation>
        <x14:dataValidation type="list" allowBlank="1" showInputMessage="1" showErrorMessage="1" xr:uid="{AB77B4A8-440A-485C-B271-94C8A03DB8B8}">
          <x14:formula1>
            <xm:f>'Reference - to hide'!$T$3:$T$7</xm:f>
          </x14:formula1>
          <xm:sqref>AP7:AP13 S25:S85</xm:sqref>
        </x14:dataValidation>
        <x14:dataValidation type="list" allowBlank="1" showInputMessage="1" showErrorMessage="1" xr:uid="{3351F989-BDF6-4F7B-A64E-A25534C79631}">
          <x14:formula1>
            <xm:f>'Reference - to hide'!$Y$3:$Y$5</xm:f>
          </x14:formula1>
          <xm:sqref>AP7:AP12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2:F79"/>
  <sheetViews>
    <sheetView showGridLines="0" zoomScale="76" zoomScaleNormal="50" workbookViewId="0">
      <pane ySplit="2" topLeftCell="A3" activePane="bottomLeft" state="frozenSplit"/>
      <selection pane="bottomLeft" activeCell="C7" sqref="C7"/>
      <selection activeCell="C13" sqref="C13"/>
    </sheetView>
  </sheetViews>
  <sheetFormatPr defaultColWidth="9.42578125" defaultRowHeight="15"/>
  <cols>
    <col min="1" max="1" width="3.5703125" style="1" customWidth="1"/>
    <col min="2" max="2" width="2.5703125" style="1" customWidth="1"/>
    <col min="3" max="3" width="111.5703125" style="2" customWidth="1"/>
    <col min="4" max="4" width="86.42578125" style="1" customWidth="1"/>
    <col min="5" max="16384" width="9.42578125" style="1"/>
  </cols>
  <sheetData>
    <row r="2" spans="1:6" ht="45.75" customHeight="1">
      <c r="B2" s="5"/>
      <c r="C2" s="376" t="s">
        <v>595</v>
      </c>
      <c r="D2" s="376"/>
    </row>
    <row r="3" spans="1:6" s="4" customFormat="1" ht="409.6" customHeight="1">
      <c r="A3" s="3"/>
      <c r="B3" s="6"/>
      <c r="C3" s="374" t="s">
        <v>596</v>
      </c>
      <c r="D3" s="375"/>
      <c r="F3" s="26"/>
    </row>
    <row r="4" spans="1:6" s="4" customFormat="1" ht="20.100000000000001" customHeight="1">
      <c r="B4" s="7"/>
      <c r="C4" s="7"/>
    </row>
    <row r="5" spans="1:6" s="4" customFormat="1" ht="20.100000000000001" customHeight="1">
      <c r="B5" s="7"/>
      <c r="C5" s="7"/>
    </row>
    <row r="6" spans="1:6" s="4" customFormat="1" ht="20.100000000000001" customHeight="1">
      <c r="B6" s="7"/>
      <c r="C6" s="7"/>
    </row>
    <row r="7" spans="1:6" s="4" customFormat="1" ht="20.100000000000001" customHeight="1">
      <c r="B7" s="7"/>
      <c r="C7" s="7"/>
    </row>
    <row r="8" spans="1:6" s="4" customFormat="1" ht="216" customHeight="1">
      <c r="C8" s="172" t="s">
        <v>597</v>
      </c>
    </row>
    <row r="9" spans="1:6" s="4" customFormat="1" ht="20.100000000000001" customHeight="1"/>
    <row r="10" spans="1:6" s="4" customFormat="1" ht="20.100000000000001" customHeight="1"/>
    <row r="11" spans="1:6" s="4" customFormat="1" ht="20.100000000000001" customHeight="1"/>
    <row r="12" spans="1:6" s="4" customFormat="1" ht="20.100000000000001" customHeight="1"/>
    <row r="13" spans="1:6" s="4" customFormat="1" ht="20.100000000000001" customHeight="1"/>
    <row r="14" spans="1:6" s="4" customFormat="1" ht="20.100000000000001" customHeight="1"/>
    <row r="15" spans="1:6" s="4" customFormat="1" ht="20.100000000000001" customHeight="1"/>
    <row r="16" spans="1:6" s="4" customFormat="1" ht="20.100000000000001" customHeight="1"/>
    <row r="17" spans="1:3" s="4" customFormat="1" ht="20.100000000000001" customHeight="1"/>
    <row r="18" spans="1:3" s="4" customFormat="1" ht="20.100000000000001" customHeight="1"/>
    <row r="19" spans="1:3" s="4" customFormat="1" ht="20.100000000000001" customHeight="1"/>
    <row r="20" spans="1:3" s="4" customFormat="1" ht="20.100000000000001" customHeight="1"/>
    <row r="21" spans="1:3" s="3" customFormat="1" ht="20.100000000000001" customHeight="1">
      <c r="A21" s="4"/>
      <c r="B21" s="4"/>
    </row>
    <row r="22" spans="1:3">
      <c r="C22" s="1"/>
    </row>
    <row r="23" spans="1:3" ht="15" customHeight="1">
      <c r="C23" s="1"/>
    </row>
    <row r="24" spans="1:3">
      <c r="C24" s="1"/>
    </row>
    <row r="25" spans="1:3">
      <c r="C25" s="1"/>
    </row>
    <row r="26" spans="1:3">
      <c r="C26" s="1"/>
    </row>
    <row r="27" spans="1:3" ht="42.75" customHeight="1">
      <c r="C27" s="1"/>
    </row>
    <row r="28" spans="1:3">
      <c r="C28" s="1"/>
    </row>
    <row r="29" spans="1:3">
      <c r="C29" s="1"/>
    </row>
    <row r="30" spans="1:3">
      <c r="C30" s="1"/>
    </row>
    <row r="31" spans="1:3">
      <c r="C31" s="1"/>
    </row>
    <row r="32" spans="1:3">
      <c r="C32" s="1"/>
    </row>
    <row r="33" s="1" customFormat="1"/>
    <row r="34" s="1" customFormat="1"/>
    <row r="35" s="1" customFormat="1"/>
    <row r="36" s="1" customFormat="1"/>
    <row r="37" s="1" customFormat="1"/>
    <row r="38" s="1" customFormat="1"/>
    <row r="39" s="1" customFormat="1"/>
    <row r="40" s="1" customFormat="1"/>
    <row r="41" s="1" customFormat="1" ht="15" customHeight="1"/>
    <row r="42" s="1" customFormat="1" ht="15" customHeight="1"/>
    <row r="43" s="1" customFormat="1"/>
    <row r="44" s="1" customFormat="1"/>
    <row r="45" s="1" customFormat="1"/>
    <row r="46" s="1" customFormat="1"/>
    <row r="47" s="1" customFormat="1"/>
    <row r="48" s="1" customFormat="1"/>
    <row r="49" s="1" customFormat="1" ht="15" customHeigh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sheetData>
  <mergeCells count="2">
    <mergeCell ref="C3:D3"/>
    <mergeCell ref="C2:D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14F7-4284-450D-94F6-57EEAE5A261B}">
  <dimension ref="A1:CF81"/>
  <sheetViews>
    <sheetView tabSelected="1" zoomScale="80" zoomScaleNormal="80" workbookViewId="0">
      <pane xSplit="4" topLeftCell="BZ1" activePane="topRight" state="frozen"/>
      <selection pane="topRight" activeCell="BY18" sqref="BY18"/>
    </sheetView>
  </sheetViews>
  <sheetFormatPr defaultColWidth="29.5703125" defaultRowHeight="18.75"/>
  <cols>
    <col min="1" max="1" width="17" style="174" customWidth="1"/>
    <col min="2" max="2" width="14.42578125" style="218" customWidth="1"/>
    <col min="3" max="3" width="42.85546875" style="174" bestFit="1" customWidth="1"/>
    <col min="4" max="4" width="26.85546875" style="174" customWidth="1"/>
    <col min="5" max="5" width="19.85546875" style="174" customWidth="1"/>
    <col min="6" max="6" width="19.5703125" style="174" customWidth="1"/>
    <col min="7" max="7" width="17.42578125" style="174" customWidth="1"/>
    <col min="8" max="8" width="19.28515625" style="174" customWidth="1"/>
    <col min="9" max="9" width="26.28515625" style="174" customWidth="1"/>
    <col min="10" max="10" width="35.5703125" style="174" customWidth="1"/>
    <col min="11" max="11" width="24.85546875" style="174" bestFit="1" customWidth="1"/>
    <col min="12" max="12" width="29" style="174" bestFit="1" customWidth="1"/>
    <col min="13" max="13" width="21" style="174" bestFit="1" customWidth="1"/>
    <col min="14" max="14" width="33.5703125" style="174" bestFit="1" customWidth="1"/>
    <col min="15" max="15" width="29.42578125" style="174" bestFit="1" customWidth="1"/>
    <col min="16" max="16" width="12.5703125" style="174" customWidth="1"/>
    <col min="17" max="17" width="18.42578125" style="174" customWidth="1"/>
    <col min="18" max="18" width="35.5703125" style="33" customWidth="1"/>
    <col min="19" max="19" width="29.42578125" style="174" bestFit="1" customWidth="1"/>
    <col min="20" max="20" width="29" style="174" bestFit="1" customWidth="1"/>
    <col min="21" max="21" width="27.42578125" style="174" bestFit="1" customWidth="1"/>
    <col min="22" max="22" width="29.5703125" style="174" bestFit="1" customWidth="1"/>
    <col min="23" max="23" width="39.5703125" style="174" bestFit="1" customWidth="1"/>
    <col min="24" max="24" width="21.5703125" style="174" customWidth="1"/>
    <col min="25" max="25" width="25.5703125" style="174" bestFit="1" customWidth="1"/>
    <col min="26" max="26" width="18.5703125" style="174" customWidth="1"/>
    <col min="27" max="27" width="19.5703125" style="174" customWidth="1"/>
    <col min="28" max="28" width="16.140625" style="174" customWidth="1"/>
    <col min="29" max="29" width="17.42578125" style="174" customWidth="1"/>
    <col min="30" max="30" width="15.42578125" style="174" customWidth="1"/>
    <col min="31" max="31" width="23.42578125" style="174" bestFit="1" customWidth="1"/>
    <col min="32" max="32" width="31.42578125" style="174" bestFit="1" customWidth="1"/>
    <col min="33" max="33" width="42.42578125" style="174" bestFit="1" customWidth="1"/>
    <col min="34" max="34" width="54.140625" style="174" customWidth="1"/>
    <col min="35" max="35" width="11.85546875" style="283" customWidth="1"/>
    <col min="36" max="36" width="14.42578125" style="174" customWidth="1"/>
    <col min="37" max="37" width="43.7109375" style="174" customWidth="1"/>
    <col min="38" max="38" width="14.42578125" style="174" customWidth="1"/>
    <col min="39" max="39" width="16.5703125" style="174" customWidth="1"/>
    <col min="40" max="40" width="26.42578125" style="174" customWidth="1"/>
    <col min="41" max="41" width="27.42578125" style="174" customWidth="1"/>
    <col min="42" max="42" width="26.5703125" style="174" customWidth="1"/>
    <col min="43" max="43" width="18" style="174" customWidth="1"/>
    <col min="44" max="44" width="34.5703125" style="174" customWidth="1"/>
    <col min="45" max="45" width="26" style="174" customWidth="1"/>
    <col min="46" max="46" width="32.140625" style="174" customWidth="1"/>
    <col min="47" max="47" width="47.42578125" style="174" customWidth="1"/>
    <col min="48" max="48" width="14.42578125" style="174" customWidth="1"/>
    <col min="49" max="49" width="43.5703125" style="174" customWidth="1"/>
    <col min="50" max="50" width="28.85546875" style="174" bestFit="1" customWidth="1"/>
    <col min="51" max="51" width="22.140625" style="174" customWidth="1"/>
    <col min="52" max="52" width="21.140625" style="174" customWidth="1"/>
    <col min="53" max="53" width="46.5703125" style="174" customWidth="1"/>
    <col min="54" max="54" width="33.42578125" style="174" bestFit="1" customWidth="1"/>
    <col min="55" max="55" width="41.5703125" style="174" bestFit="1" customWidth="1"/>
    <col min="56" max="56" width="26" style="174" bestFit="1" customWidth="1"/>
    <col min="57" max="57" width="26.42578125" style="174" bestFit="1" customWidth="1"/>
    <col min="58" max="58" width="27.42578125" style="174" customWidth="1"/>
    <col min="59" max="59" width="29.5703125" style="174" bestFit="1" customWidth="1"/>
    <col min="60" max="60" width="29.140625" style="174" bestFit="1" customWidth="1"/>
    <col min="61" max="61" width="34.5703125" style="174" bestFit="1" customWidth="1"/>
    <col min="62" max="62" width="28.5703125" style="174" bestFit="1" customWidth="1"/>
    <col min="63" max="63" width="29.42578125" style="174" bestFit="1" customWidth="1"/>
    <col min="64" max="64" width="29.5703125" style="174" bestFit="1" customWidth="1"/>
    <col min="65" max="65" width="30.42578125" style="17" customWidth="1"/>
    <col min="66" max="66" width="20.140625" style="17" bestFit="1" customWidth="1"/>
    <col min="67" max="67" width="28" style="174" bestFit="1" customWidth="1"/>
    <col min="68" max="68" width="39.7109375" style="174" customWidth="1"/>
    <col min="69" max="70" width="34.42578125" style="174" bestFit="1" customWidth="1"/>
    <col min="71" max="71" width="34.42578125" style="174" customWidth="1"/>
    <col min="72" max="72" width="32.5703125" style="174" bestFit="1" customWidth="1"/>
    <col min="73" max="73" width="24.5703125" style="174" bestFit="1" customWidth="1"/>
    <col min="74" max="74" width="22.42578125" style="174" customWidth="1"/>
    <col min="75" max="75" width="30.42578125" style="174" bestFit="1" customWidth="1"/>
    <col min="76" max="76" width="31.85546875" style="174" bestFit="1" customWidth="1"/>
    <col min="77" max="77" width="37.5703125" style="174" bestFit="1" customWidth="1"/>
    <col min="78" max="78" width="23.5703125" style="175" bestFit="1" customWidth="1"/>
    <col min="79" max="79" width="28.42578125" style="175" bestFit="1" customWidth="1"/>
    <col min="80" max="80" width="26.140625" style="175" bestFit="1" customWidth="1"/>
    <col min="81" max="81" width="20.5703125" style="175" bestFit="1" customWidth="1"/>
    <col min="82" max="82" width="23.5703125" style="175" bestFit="1" customWidth="1"/>
    <col min="83" max="83" width="18.5703125" style="174" bestFit="1" customWidth="1"/>
    <col min="84" max="84" width="35.85546875" style="174" bestFit="1" customWidth="1"/>
    <col min="85" max="16384" width="29.5703125" style="174"/>
  </cols>
  <sheetData>
    <row r="1" spans="1:84" ht="28.5">
      <c r="A1" s="242" t="s">
        <v>0</v>
      </c>
      <c r="B1" s="243" t="s">
        <v>1</v>
      </c>
      <c r="C1" s="244"/>
      <c r="D1" s="244"/>
      <c r="E1" s="244"/>
      <c r="F1" s="244"/>
      <c r="G1" s="244"/>
      <c r="H1" s="244"/>
      <c r="I1" s="244"/>
      <c r="J1" s="244"/>
      <c r="K1" s="244"/>
      <c r="L1" s="244"/>
      <c r="M1" s="244"/>
      <c r="N1" s="244"/>
      <c r="O1" s="244"/>
      <c r="P1" s="244"/>
      <c r="Q1" s="244"/>
      <c r="R1" s="285"/>
      <c r="S1" s="244"/>
      <c r="T1" s="244"/>
      <c r="U1" s="244"/>
      <c r="V1" s="244"/>
      <c r="W1" s="245"/>
      <c r="X1" s="246" t="s">
        <v>2</v>
      </c>
      <c r="Y1" s="247"/>
      <c r="Z1" s="247"/>
      <c r="AA1" s="247"/>
      <c r="AB1" s="247"/>
      <c r="AC1" s="248"/>
      <c r="AD1" s="249" t="s">
        <v>3</v>
      </c>
      <c r="AE1" s="250"/>
      <c r="AF1" s="250"/>
      <c r="AG1" s="250"/>
      <c r="AH1" s="250"/>
      <c r="AI1" s="276"/>
      <c r="AJ1" s="250"/>
      <c r="AK1" s="250"/>
      <c r="AL1" s="250"/>
      <c r="AM1" s="250"/>
      <c r="AN1" s="250"/>
      <c r="AO1" s="250"/>
      <c r="AP1" s="251"/>
      <c r="AQ1" s="252" t="s">
        <v>4</v>
      </c>
      <c r="AR1" s="253"/>
      <c r="AS1" s="253"/>
      <c r="AT1" s="253"/>
      <c r="AU1" s="253"/>
      <c r="AV1" s="253"/>
      <c r="AW1" s="253"/>
      <c r="AX1" s="253"/>
      <c r="AY1" s="253"/>
      <c r="AZ1" s="254"/>
      <c r="BA1" s="255" t="s">
        <v>5</v>
      </c>
      <c r="BB1" s="256"/>
      <c r="BC1" s="257"/>
      <c r="BD1" s="258" t="s">
        <v>6</v>
      </c>
      <c r="BE1" s="259"/>
      <c r="BF1" s="259"/>
      <c r="BG1" s="259"/>
      <c r="BH1" s="259"/>
      <c r="BI1" s="259"/>
      <c r="BJ1" s="259"/>
      <c r="BK1" s="260"/>
      <c r="BL1" s="255" t="s">
        <v>7</v>
      </c>
      <c r="BM1" s="256"/>
      <c r="BN1" s="256"/>
      <c r="BO1" s="257"/>
      <c r="BP1" s="252" t="s">
        <v>8</v>
      </c>
      <c r="BQ1" s="253"/>
      <c r="BR1" s="254"/>
      <c r="BS1" s="261" t="s">
        <v>9</v>
      </c>
      <c r="BZ1" s="300"/>
      <c r="CA1" s="300"/>
      <c r="CB1" s="300"/>
      <c r="CC1" s="300"/>
    </row>
    <row r="2" spans="1:84" s="214" customFormat="1" ht="55.5" customHeight="1" thickBot="1">
      <c r="A2" s="201" t="s">
        <v>598</v>
      </c>
      <c r="B2" s="205" t="s">
        <v>11</v>
      </c>
      <c r="C2" s="205" t="s">
        <v>13</v>
      </c>
      <c r="D2" s="205" t="s">
        <v>14</v>
      </c>
      <c r="E2" s="202" t="s">
        <v>599</v>
      </c>
      <c r="F2" s="203" t="s">
        <v>16</v>
      </c>
      <c r="G2" s="205" t="s">
        <v>17</v>
      </c>
      <c r="H2" s="203" t="s">
        <v>600</v>
      </c>
      <c r="I2" s="203" t="s">
        <v>601</v>
      </c>
      <c r="J2" s="204" t="s">
        <v>20</v>
      </c>
      <c r="K2" s="204" t="s">
        <v>21</v>
      </c>
      <c r="L2" s="205" t="s">
        <v>22</v>
      </c>
      <c r="M2" s="205" t="s">
        <v>21</v>
      </c>
      <c r="N2" s="205" t="s">
        <v>602</v>
      </c>
      <c r="O2" s="205" t="s">
        <v>603</v>
      </c>
      <c r="P2" s="42" t="s">
        <v>604</v>
      </c>
      <c r="Q2" s="204" t="s">
        <v>25</v>
      </c>
      <c r="R2" s="206" t="s">
        <v>605</v>
      </c>
      <c r="S2" s="204" t="s">
        <v>27</v>
      </c>
      <c r="T2" s="204" t="s">
        <v>28</v>
      </c>
      <c r="U2" s="207" t="s">
        <v>606</v>
      </c>
      <c r="V2" s="202" t="s">
        <v>31</v>
      </c>
      <c r="W2" s="202" t="s">
        <v>32</v>
      </c>
      <c r="X2" s="204" t="s">
        <v>33</v>
      </c>
      <c r="Y2" s="204" t="s">
        <v>34</v>
      </c>
      <c r="Z2" s="204" t="s">
        <v>35</v>
      </c>
      <c r="AA2" s="204" t="s">
        <v>36</v>
      </c>
      <c r="AB2" s="204" t="s">
        <v>37</v>
      </c>
      <c r="AC2" s="204" t="s">
        <v>38</v>
      </c>
      <c r="AD2" s="204" t="s">
        <v>39</v>
      </c>
      <c r="AE2" s="208" t="s">
        <v>607</v>
      </c>
      <c r="AF2" s="209" t="s">
        <v>41</v>
      </c>
      <c r="AG2" s="204" t="s">
        <v>42</v>
      </c>
      <c r="AH2" s="204" t="s">
        <v>43</v>
      </c>
      <c r="AI2" s="202" t="s">
        <v>44</v>
      </c>
      <c r="AJ2" s="204" t="s">
        <v>45</v>
      </c>
      <c r="AK2" s="204" t="s">
        <v>46</v>
      </c>
      <c r="AL2" s="204" t="s">
        <v>47</v>
      </c>
      <c r="AM2" s="204" t="s">
        <v>48</v>
      </c>
      <c r="AN2" s="207" t="s">
        <v>608</v>
      </c>
      <c r="AO2" s="207" t="s">
        <v>609</v>
      </c>
      <c r="AP2" s="204" t="s">
        <v>49</v>
      </c>
      <c r="AQ2" s="204" t="s">
        <v>50</v>
      </c>
      <c r="AR2" s="208" t="s">
        <v>30</v>
      </c>
      <c r="AS2" s="207" t="s">
        <v>51</v>
      </c>
      <c r="AT2" s="204" t="s">
        <v>52</v>
      </c>
      <c r="AU2" s="173" t="s">
        <v>610</v>
      </c>
      <c r="AV2" s="204" t="s">
        <v>55</v>
      </c>
      <c r="AW2" s="204" t="s">
        <v>56</v>
      </c>
      <c r="AX2" s="173" t="s">
        <v>57</v>
      </c>
      <c r="AY2" s="204" t="s">
        <v>58</v>
      </c>
      <c r="AZ2" s="204" t="s">
        <v>59</v>
      </c>
      <c r="BA2" s="204" t="s">
        <v>60</v>
      </c>
      <c r="BB2" s="204" t="s">
        <v>61</v>
      </c>
      <c r="BC2" s="204" t="s">
        <v>62</v>
      </c>
      <c r="BD2" s="204" t="s">
        <v>63</v>
      </c>
      <c r="BE2" s="204" t="s">
        <v>64</v>
      </c>
      <c r="BF2" s="204" t="s">
        <v>65</v>
      </c>
      <c r="BG2" s="204" t="s">
        <v>66</v>
      </c>
      <c r="BH2" s="204" t="s">
        <v>67</v>
      </c>
      <c r="BI2" s="204" t="s">
        <v>68</v>
      </c>
      <c r="BJ2" s="204" t="s">
        <v>69</v>
      </c>
      <c r="BK2" s="204" t="s">
        <v>70</v>
      </c>
      <c r="BL2" s="204" t="s">
        <v>71</v>
      </c>
      <c r="BM2" s="204" t="s">
        <v>72</v>
      </c>
      <c r="BN2" s="204" t="s">
        <v>73</v>
      </c>
      <c r="BO2" s="204" t="s">
        <v>74</v>
      </c>
      <c r="BP2" s="204" t="s">
        <v>611</v>
      </c>
      <c r="BQ2" s="204" t="s">
        <v>76</v>
      </c>
      <c r="BR2" s="204" t="s">
        <v>77</v>
      </c>
      <c r="BS2" s="203" t="s">
        <v>78</v>
      </c>
      <c r="BT2" s="205" t="s">
        <v>612</v>
      </c>
      <c r="BU2" s="205" t="s">
        <v>613</v>
      </c>
      <c r="BV2" s="205" t="s">
        <v>614</v>
      </c>
      <c r="BW2" s="205" t="s">
        <v>615</v>
      </c>
      <c r="BX2" s="205" t="s">
        <v>616</v>
      </c>
      <c r="BY2" s="205" t="s">
        <v>617</v>
      </c>
      <c r="BZ2" s="210" t="s">
        <v>618</v>
      </c>
      <c r="CA2" s="211" t="s">
        <v>619</v>
      </c>
      <c r="CB2" s="212" t="s">
        <v>620</v>
      </c>
      <c r="CC2" s="212" t="s">
        <v>621</v>
      </c>
      <c r="CD2" s="213" t="s">
        <v>622</v>
      </c>
      <c r="CE2" s="214" t="s">
        <v>623</v>
      </c>
      <c r="CF2" s="214" t="s">
        <v>624</v>
      </c>
    </row>
    <row r="3" spans="1:84" ht="57">
      <c r="A3" s="262" t="s">
        <v>79</v>
      </c>
      <c r="B3" s="263" t="s">
        <v>80</v>
      </c>
      <c r="C3" s="264" t="s">
        <v>81</v>
      </c>
      <c r="D3" s="264" t="s">
        <v>82</v>
      </c>
      <c r="E3" s="264" t="s">
        <v>83</v>
      </c>
      <c r="F3" s="264" t="s">
        <v>625</v>
      </c>
      <c r="G3" s="264" t="s">
        <v>85</v>
      </c>
      <c r="H3" s="264" t="s">
        <v>626</v>
      </c>
      <c r="I3" s="264" t="s">
        <v>627</v>
      </c>
      <c r="J3" s="265" t="s">
        <v>628</v>
      </c>
      <c r="K3" s="266" t="s">
        <v>629</v>
      </c>
      <c r="L3" s="265" t="s">
        <v>630</v>
      </c>
      <c r="M3" s="267" t="s">
        <v>631</v>
      </c>
      <c r="N3" s="267" t="s">
        <v>632</v>
      </c>
      <c r="O3" s="267" t="s">
        <v>633</v>
      </c>
      <c r="P3" s="344" t="s">
        <v>634</v>
      </c>
      <c r="Q3" s="267" t="s">
        <v>93</v>
      </c>
      <c r="R3" s="287" t="s">
        <v>635</v>
      </c>
      <c r="S3" s="264" t="s">
        <v>95</v>
      </c>
      <c r="T3" s="266" t="s">
        <v>636</v>
      </c>
      <c r="U3" s="287" t="s">
        <v>637</v>
      </c>
      <c r="V3" s="266" t="s">
        <v>638</v>
      </c>
      <c r="W3" s="266" t="s">
        <v>639</v>
      </c>
      <c r="X3" s="265" t="s">
        <v>640</v>
      </c>
      <c r="Y3" s="266" t="s">
        <v>641</v>
      </c>
      <c r="Z3" s="266" t="s">
        <v>642</v>
      </c>
      <c r="AA3" s="267" t="s">
        <v>103</v>
      </c>
      <c r="AB3" s="264" t="s">
        <v>104</v>
      </c>
      <c r="AC3" s="264" t="s">
        <v>105</v>
      </c>
      <c r="AD3" s="267" t="s">
        <v>106</v>
      </c>
      <c r="AE3" s="267" t="s">
        <v>107</v>
      </c>
      <c r="AF3" s="267" t="s">
        <v>108</v>
      </c>
      <c r="AG3" s="267" t="s">
        <v>108</v>
      </c>
      <c r="AH3" s="267" t="s">
        <v>109</v>
      </c>
      <c r="AI3" s="277" t="s">
        <v>110</v>
      </c>
      <c r="AJ3" s="267" t="s">
        <v>111</v>
      </c>
      <c r="AK3" s="267" t="s">
        <v>112</v>
      </c>
      <c r="AL3" s="267" t="s">
        <v>110</v>
      </c>
      <c r="AM3" s="267" t="s">
        <v>111</v>
      </c>
      <c r="AN3" s="267" t="s">
        <v>643</v>
      </c>
      <c r="AO3" s="267" t="s">
        <v>643</v>
      </c>
      <c r="AP3" s="267" t="s">
        <v>93</v>
      </c>
      <c r="AQ3" s="264" t="s">
        <v>113</v>
      </c>
      <c r="AR3" s="267" t="s">
        <v>631</v>
      </c>
      <c r="AS3" s="267" t="s">
        <v>644</v>
      </c>
      <c r="AT3" s="267" t="s">
        <v>115</v>
      </c>
      <c r="AU3" s="267" t="s">
        <v>645</v>
      </c>
      <c r="AV3" s="264" t="s">
        <v>646</v>
      </c>
      <c r="AW3" s="267" t="s">
        <v>118</v>
      </c>
      <c r="AX3" s="264" t="s">
        <v>647</v>
      </c>
      <c r="AY3" s="267" t="s">
        <v>93</v>
      </c>
      <c r="AZ3" s="267" t="s">
        <v>93</v>
      </c>
      <c r="BA3" s="267" t="s">
        <v>120</v>
      </c>
      <c r="BB3" s="267" t="s">
        <v>93</v>
      </c>
      <c r="BC3" s="267" t="s">
        <v>121</v>
      </c>
      <c r="BD3" s="267" t="s">
        <v>122</v>
      </c>
      <c r="BE3" s="267" t="s">
        <v>122</v>
      </c>
      <c r="BF3" s="267" t="s">
        <v>93</v>
      </c>
      <c r="BG3" s="267" t="s">
        <v>122</v>
      </c>
      <c r="BH3" s="267" t="s">
        <v>122</v>
      </c>
      <c r="BI3" s="267" t="s">
        <v>122</v>
      </c>
      <c r="BJ3" s="267" t="s">
        <v>122</v>
      </c>
      <c r="BK3" s="267" t="s">
        <v>93</v>
      </c>
      <c r="BL3" s="267" t="s">
        <v>93</v>
      </c>
      <c r="BM3" s="267" t="s">
        <v>123</v>
      </c>
      <c r="BN3" s="267" t="s">
        <v>93</v>
      </c>
      <c r="BO3" s="267" t="s">
        <v>93</v>
      </c>
      <c r="BP3" s="267" t="s">
        <v>93</v>
      </c>
      <c r="BQ3" s="267" t="s">
        <v>93</v>
      </c>
      <c r="BR3" s="267" t="s">
        <v>122</v>
      </c>
      <c r="BS3" s="267" t="s">
        <v>124</v>
      </c>
      <c r="BT3" s="267" t="s">
        <v>631</v>
      </c>
      <c r="BU3" s="267" t="s">
        <v>631</v>
      </c>
      <c r="BV3" s="267" t="s">
        <v>631</v>
      </c>
      <c r="BW3" s="267" t="s">
        <v>631</v>
      </c>
      <c r="BX3" s="267" t="s">
        <v>631</v>
      </c>
      <c r="BY3" s="267" t="s">
        <v>631</v>
      </c>
      <c r="BZ3" s="300"/>
      <c r="CA3" s="300"/>
      <c r="CB3" s="300"/>
      <c r="CC3" s="300"/>
    </row>
    <row r="4" spans="1:84">
      <c r="A4" s="268" t="s">
        <v>125</v>
      </c>
      <c r="B4" s="269" t="s">
        <v>126</v>
      </c>
      <c r="C4" s="269" t="s">
        <v>126</v>
      </c>
      <c r="D4" s="269" t="s">
        <v>126</v>
      </c>
      <c r="E4" s="269" t="s">
        <v>126</v>
      </c>
      <c r="F4" s="269" t="s">
        <v>126</v>
      </c>
      <c r="G4" s="269" t="s">
        <v>126</v>
      </c>
      <c r="H4" s="269" t="s">
        <v>126</v>
      </c>
      <c r="I4" s="269" t="s">
        <v>126</v>
      </c>
      <c r="J4" s="269" t="s">
        <v>126</v>
      </c>
      <c r="K4" s="269" t="s">
        <v>126</v>
      </c>
      <c r="L4" s="269" t="s">
        <v>126</v>
      </c>
      <c r="M4" s="269" t="s">
        <v>127</v>
      </c>
      <c r="N4" s="269" t="s">
        <v>127</v>
      </c>
      <c r="O4" s="269" t="s">
        <v>126</v>
      </c>
      <c r="P4" s="269"/>
      <c r="Q4" s="269" t="s">
        <v>127</v>
      </c>
      <c r="R4" s="34" t="s">
        <v>126</v>
      </c>
      <c r="S4" s="269" t="s">
        <v>126</v>
      </c>
      <c r="T4" s="269" t="s">
        <v>126</v>
      </c>
      <c r="U4" s="269" t="s">
        <v>126</v>
      </c>
      <c r="V4" s="269" t="s">
        <v>126</v>
      </c>
      <c r="W4" s="269" t="s">
        <v>126</v>
      </c>
      <c r="X4" s="269" t="s">
        <v>126</v>
      </c>
      <c r="Y4" s="269" t="s">
        <v>126</v>
      </c>
      <c r="Z4" s="269" t="s">
        <v>127</v>
      </c>
      <c r="AA4" s="269" t="s">
        <v>126</v>
      </c>
      <c r="AB4" s="269" t="s">
        <v>126</v>
      </c>
      <c r="AC4" s="269" t="s">
        <v>126</v>
      </c>
      <c r="AD4" s="269" t="s">
        <v>126</v>
      </c>
      <c r="AE4" s="269" t="s">
        <v>127</v>
      </c>
      <c r="AF4" s="269" t="s">
        <v>126</v>
      </c>
      <c r="AG4" s="269" t="s">
        <v>126</v>
      </c>
      <c r="AH4" s="269" t="s">
        <v>126</v>
      </c>
      <c r="AI4" s="278" t="s">
        <v>126</v>
      </c>
      <c r="AJ4" s="269" t="s">
        <v>126</v>
      </c>
      <c r="AK4" s="269" t="s">
        <v>126</v>
      </c>
      <c r="AL4" s="269" t="s">
        <v>126</v>
      </c>
      <c r="AM4" s="269" t="s">
        <v>126</v>
      </c>
      <c r="AN4" s="269" t="s">
        <v>127</v>
      </c>
      <c r="AO4" s="269" t="s">
        <v>127</v>
      </c>
      <c r="AP4" s="269" t="s">
        <v>126</v>
      </c>
      <c r="AQ4" s="269" t="s">
        <v>126</v>
      </c>
      <c r="AR4" s="269" t="s">
        <v>127</v>
      </c>
      <c r="AS4" s="269" t="s">
        <v>126</v>
      </c>
      <c r="AT4" s="269" t="s">
        <v>126</v>
      </c>
      <c r="AU4" s="269" t="s">
        <v>126</v>
      </c>
      <c r="AV4" s="269" t="s">
        <v>126</v>
      </c>
      <c r="AW4" s="269" t="s">
        <v>126</v>
      </c>
      <c r="AX4" s="269" t="s">
        <v>126</v>
      </c>
      <c r="AY4" s="269" t="s">
        <v>126</v>
      </c>
      <c r="AZ4" s="269" t="s">
        <v>126</v>
      </c>
      <c r="BA4" s="269" t="s">
        <v>126</v>
      </c>
      <c r="BB4" s="269" t="s">
        <v>127</v>
      </c>
      <c r="BC4" s="269" t="s">
        <v>126</v>
      </c>
      <c r="BD4" s="270" t="s">
        <v>127</v>
      </c>
      <c r="BE4" s="270" t="s">
        <v>127</v>
      </c>
      <c r="BF4" s="270" t="s">
        <v>127</v>
      </c>
      <c r="BG4" s="269" t="s">
        <v>126</v>
      </c>
      <c r="BH4" s="269" t="s">
        <v>127</v>
      </c>
      <c r="BI4" s="269" t="s">
        <v>127</v>
      </c>
      <c r="BJ4" s="269" t="s">
        <v>127</v>
      </c>
      <c r="BK4" s="269" t="s">
        <v>127</v>
      </c>
      <c r="BL4" s="269" t="s">
        <v>126</v>
      </c>
      <c r="BM4" s="269" t="s">
        <v>126</v>
      </c>
      <c r="BN4" s="269" t="s">
        <v>126</v>
      </c>
      <c r="BO4" s="269" t="s">
        <v>126</v>
      </c>
      <c r="BP4" s="269" t="s">
        <v>126</v>
      </c>
      <c r="BQ4" s="269" t="s">
        <v>126</v>
      </c>
      <c r="BR4" s="269" t="s">
        <v>126</v>
      </c>
      <c r="BS4" s="269" t="s">
        <v>127</v>
      </c>
      <c r="BT4" s="269" t="s">
        <v>127</v>
      </c>
      <c r="BU4" s="269" t="s">
        <v>127</v>
      </c>
      <c r="BV4" s="269" t="s">
        <v>127</v>
      </c>
      <c r="BW4" s="269" t="s">
        <v>127</v>
      </c>
      <c r="BX4" s="269" t="s">
        <v>127</v>
      </c>
      <c r="BY4" s="269" t="s">
        <v>127</v>
      </c>
      <c r="BZ4" s="300"/>
      <c r="CA4" s="300"/>
      <c r="CB4" s="300"/>
      <c r="CC4" s="300"/>
    </row>
    <row r="5" spans="1:84" ht="18">
      <c r="A5" s="177" t="s">
        <v>128</v>
      </c>
      <c r="B5" s="178">
        <v>313</v>
      </c>
      <c r="C5" s="178" t="s">
        <v>129</v>
      </c>
      <c r="D5" s="178" t="s">
        <v>130</v>
      </c>
      <c r="E5" s="178"/>
      <c r="F5" s="178" t="s">
        <v>132</v>
      </c>
      <c r="G5" s="178" t="s">
        <v>133</v>
      </c>
      <c r="H5" s="178"/>
      <c r="I5" s="178"/>
      <c r="J5" s="178" t="s">
        <v>135</v>
      </c>
      <c r="K5" s="178" t="s">
        <v>136</v>
      </c>
      <c r="L5" s="178" t="s">
        <v>137</v>
      </c>
      <c r="M5" s="178"/>
      <c r="N5" s="178"/>
      <c r="O5" s="178" t="s">
        <v>138</v>
      </c>
      <c r="P5" s="345"/>
      <c r="Q5" s="178" t="s">
        <v>140</v>
      </c>
      <c r="R5" s="178" t="s">
        <v>141</v>
      </c>
      <c r="S5" s="178" t="s">
        <v>142</v>
      </c>
      <c r="T5" s="178" t="s">
        <v>142</v>
      </c>
      <c r="U5" s="178" t="s">
        <v>143</v>
      </c>
      <c r="V5" s="178" t="s">
        <v>144</v>
      </c>
      <c r="W5" s="178" t="s">
        <v>145</v>
      </c>
      <c r="X5" s="178" t="s">
        <v>146</v>
      </c>
      <c r="Y5" s="178" t="s">
        <v>147</v>
      </c>
      <c r="Z5" s="178" t="s">
        <v>148</v>
      </c>
      <c r="AA5" s="178" t="s">
        <v>138</v>
      </c>
      <c r="AB5" s="178" t="s">
        <v>138</v>
      </c>
      <c r="AC5" s="178" t="s">
        <v>142</v>
      </c>
      <c r="AD5" s="178" t="s">
        <v>149</v>
      </c>
      <c r="AE5" s="178" t="s">
        <v>138</v>
      </c>
      <c r="AF5" s="178" t="s">
        <v>150</v>
      </c>
      <c r="AG5" s="178" t="s">
        <v>138</v>
      </c>
      <c r="AH5" s="231" t="s">
        <v>151</v>
      </c>
      <c r="AI5" s="279">
        <v>5</v>
      </c>
      <c r="AJ5" s="237" t="s">
        <v>152</v>
      </c>
      <c r="AK5" s="235" t="s">
        <v>153</v>
      </c>
      <c r="AL5" s="178">
        <v>8</v>
      </c>
      <c r="AM5" s="178" t="s">
        <v>154</v>
      </c>
      <c r="AN5" s="178"/>
      <c r="AO5" s="178"/>
      <c r="AP5" s="178" t="s">
        <v>155</v>
      </c>
      <c r="AQ5" s="178" t="s">
        <v>156</v>
      </c>
      <c r="AR5" s="178"/>
      <c r="AS5" s="178" t="s">
        <v>157</v>
      </c>
      <c r="AT5" s="178" t="s">
        <v>138</v>
      </c>
      <c r="AU5" s="178" t="s">
        <v>158</v>
      </c>
      <c r="AV5" s="178" t="s">
        <v>159</v>
      </c>
      <c r="AW5" s="178" t="s">
        <v>150</v>
      </c>
      <c r="AX5" s="178" t="s">
        <v>160</v>
      </c>
      <c r="AY5" s="178" t="s">
        <v>161</v>
      </c>
      <c r="AZ5" s="178" t="s">
        <v>161</v>
      </c>
      <c r="BA5" s="178" t="s">
        <v>162</v>
      </c>
      <c r="BB5" s="178" t="s">
        <v>163</v>
      </c>
      <c r="BC5" s="178" t="s">
        <v>164</v>
      </c>
      <c r="BD5" s="178" t="s">
        <v>165</v>
      </c>
      <c r="BE5" s="178" t="s">
        <v>166</v>
      </c>
      <c r="BF5" s="178" t="s">
        <v>167</v>
      </c>
      <c r="BG5" s="178" t="s">
        <v>150</v>
      </c>
      <c r="BH5" s="178" t="s">
        <v>168</v>
      </c>
      <c r="BI5" s="178" t="s">
        <v>169</v>
      </c>
      <c r="BJ5" s="178" t="s">
        <v>170</v>
      </c>
      <c r="BK5" s="178">
        <v>4</v>
      </c>
      <c r="BL5" s="179" t="s">
        <v>171</v>
      </c>
      <c r="BM5" s="178">
        <v>3</v>
      </c>
      <c r="BN5" s="178">
        <v>2</v>
      </c>
      <c r="BO5" s="178">
        <v>1</v>
      </c>
      <c r="BP5" s="178" t="s">
        <v>172</v>
      </c>
      <c r="BQ5" s="178" t="s">
        <v>173</v>
      </c>
      <c r="BR5" s="178" t="s">
        <v>150</v>
      </c>
      <c r="BS5" s="178" t="s">
        <v>174</v>
      </c>
      <c r="BT5" s="178"/>
      <c r="BU5" s="178"/>
      <c r="BV5" s="178"/>
      <c r="BW5" s="178"/>
      <c r="BX5" s="178"/>
      <c r="BY5" s="178"/>
      <c r="BZ5" s="300"/>
      <c r="CA5" s="300"/>
      <c r="CB5" s="300"/>
      <c r="CC5" s="300"/>
    </row>
    <row r="6" spans="1:84" s="176" customFormat="1" ht="18.600000000000001" thickBot="1">
      <c r="A6" s="180" t="s">
        <v>175</v>
      </c>
      <c r="B6" s="181">
        <v>7</v>
      </c>
      <c r="C6" s="181" t="s">
        <v>176</v>
      </c>
      <c r="D6" s="181" t="s">
        <v>177</v>
      </c>
      <c r="E6" s="181"/>
      <c r="F6" s="181" t="s">
        <v>179</v>
      </c>
      <c r="G6" s="181" t="s">
        <v>133</v>
      </c>
      <c r="H6" s="181"/>
      <c r="I6" s="181"/>
      <c r="J6" s="181" t="s">
        <v>181</v>
      </c>
      <c r="K6" s="181" t="s">
        <v>182</v>
      </c>
      <c r="L6" s="181" t="s">
        <v>183</v>
      </c>
      <c r="M6" s="181"/>
      <c r="N6" s="181"/>
      <c r="O6" s="181" t="s">
        <v>138</v>
      </c>
      <c r="P6" s="346"/>
      <c r="Q6" s="181" t="s">
        <v>185</v>
      </c>
      <c r="R6" s="181" t="s">
        <v>186</v>
      </c>
      <c r="S6" s="181" t="s">
        <v>187</v>
      </c>
      <c r="T6" s="181" t="s">
        <v>188</v>
      </c>
      <c r="U6" s="181" t="s">
        <v>189</v>
      </c>
      <c r="V6" s="181" t="s">
        <v>144</v>
      </c>
      <c r="W6" s="181" t="s">
        <v>145</v>
      </c>
      <c r="X6" s="181" t="s">
        <v>146</v>
      </c>
      <c r="Y6" s="181" t="s">
        <v>190</v>
      </c>
      <c r="Z6" s="181" t="s">
        <v>148</v>
      </c>
      <c r="AA6" s="181" t="s">
        <v>150</v>
      </c>
      <c r="AB6" s="181" t="s">
        <v>150</v>
      </c>
      <c r="AC6" s="181" t="s">
        <v>187</v>
      </c>
      <c r="AD6" s="181" t="s">
        <v>191</v>
      </c>
      <c r="AE6" s="181" t="s">
        <v>150</v>
      </c>
      <c r="AF6" s="181" t="s">
        <v>138</v>
      </c>
      <c r="AG6" s="181" t="s">
        <v>150</v>
      </c>
      <c r="AH6" s="181" t="s">
        <v>192</v>
      </c>
      <c r="AI6" s="280">
        <v>2</v>
      </c>
      <c r="AJ6" s="233" t="s">
        <v>193</v>
      </c>
      <c r="AK6" s="181" t="s">
        <v>194</v>
      </c>
      <c r="AL6" s="181">
        <v>3</v>
      </c>
      <c r="AM6" s="181" t="s">
        <v>193</v>
      </c>
      <c r="AN6" s="181"/>
      <c r="AO6" s="181"/>
      <c r="AP6" s="181" t="s">
        <v>195</v>
      </c>
      <c r="AQ6" s="181" t="s">
        <v>196</v>
      </c>
      <c r="AR6" s="181"/>
      <c r="AS6" s="181" t="s">
        <v>197</v>
      </c>
      <c r="AT6" s="181" t="s">
        <v>150</v>
      </c>
      <c r="AU6" s="181" t="s">
        <v>198</v>
      </c>
      <c r="AV6" s="181" t="s">
        <v>199</v>
      </c>
      <c r="AW6" s="181" t="s">
        <v>648</v>
      </c>
      <c r="AX6" s="181" t="s">
        <v>200</v>
      </c>
      <c r="AY6" s="181" t="s">
        <v>161</v>
      </c>
      <c r="AZ6" s="181" t="s">
        <v>161</v>
      </c>
      <c r="BA6" s="181" t="s">
        <v>173</v>
      </c>
      <c r="BB6" s="181" t="s">
        <v>201</v>
      </c>
      <c r="BC6" s="181" t="s">
        <v>202</v>
      </c>
      <c r="BD6" s="181" t="s">
        <v>166</v>
      </c>
      <c r="BE6" s="181" t="s">
        <v>165</v>
      </c>
      <c r="BF6" s="181" t="s">
        <v>150</v>
      </c>
      <c r="BG6" s="181" t="s">
        <v>150</v>
      </c>
      <c r="BH6" s="181" t="s">
        <v>203</v>
      </c>
      <c r="BI6" s="181" t="s">
        <v>204</v>
      </c>
      <c r="BJ6" s="181" t="s">
        <v>171</v>
      </c>
      <c r="BK6" s="181">
        <v>3</v>
      </c>
      <c r="BL6" s="181" t="s">
        <v>170</v>
      </c>
      <c r="BM6" s="181">
        <v>6</v>
      </c>
      <c r="BN6" s="181">
        <v>4</v>
      </c>
      <c r="BO6" s="181">
        <v>3</v>
      </c>
      <c r="BP6" s="181" t="s">
        <v>205</v>
      </c>
      <c r="BQ6" s="181" t="s">
        <v>206</v>
      </c>
      <c r="BR6" s="181" t="s">
        <v>150</v>
      </c>
      <c r="BS6" s="181" t="s">
        <v>207</v>
      </c>
      <c r="BT6" s="181"/>
      <c r="BU6" s="181"/>
      <c r="BV6" s="181"/>
      <c r="BW6" s="181"/>
      <c r="BX6" s="181"/>
      <c r="BY6" s="181"/>
      <c r="BZ6" s="301" t="s">
        <v>649</v>
      </c>
      <c r="CA6" s="301"/>
      <c r="CB6" s="301"/>
      <c r="CC6" s="301"/>
      <c r="CD6" s="182"/>
    </row>
    <row r="7" spans="1:84" ht="175.5">
      <c r="A7" s="183" t="s">
        <v>208</v>
      </c>
      <c r="B7" s="184">
        <v>451</v>
      </c>
      <c r="C7" s="185" t="s">
        <v>209</v>
      </c>
      <c r="D7" s="185" t="s">
        <v>210</v>
      </c>
      <c r="E7" s="342" t="s">
        <v>650</v>
      </c>
      <c r="F7" s="185" t="s">
        <v>132</v>
      </c>
      <c r="G7" s="186" t="s">
        <v>651</v>
      </c>
      <c r="H7" s="220" t="s">
        <v>652</v>
      </c>
      <c r="I7" s="221" t="s">
        <v>653</v>
      </c>
      <c r="J7" s="303" t="s">
        <v>654</v>
      </c>
      <c r="K7" s="185" t="s">
        <v>182</v>
      </c>
      <c r="L7" s="188" t="s">
        <v>655</v>
      </c>
      <c r="M7" s="188" t="s">
        <v>438</v>
      </c>
      <c r="N7" s="188" t="s">
        <v>138</v>
      </c>
      <c r="O7" s="188" t="s">
        <v>212</v>
      </c>
      <c r="P7" s="347">
        <v>46332</v>
      </c>
      <c r="Q7" s="17" t="s">
        <v>656</v>
      </c>
      <c r="R7" s="289" t="s">
        <v>657</v>
      </c>
      <c r="S7" s="188" t="s">
        <v>187</v>
      </c>
      <c r="T7" s="188" t="s">
        <v>187</v>
      </c>
      <c r="U7" s="188" t="s">
        <v>213</v>
      </c>
      <c r="V7" s="200" t="s">
        <v>658</v>
      </c>
      <c r="W7" s="185" t="s">
        <v>659</v>
      </c>
      <c r="X7" s="193" t="s">
        <v>660</v>
      </c>
      <c r="Y7" s="17" t="s">
        <v>661</v>
      </c>
      <c r="Z7" s="17" t="s">
        <v>662</v>
      </c>
      <c r="AA7" s="188" t="s">
        <v>150</v>
      </c>
      <c r="AB7" s="187" t="s">
        <v>138</v>
      </c>
      <c r="AC7" s="188" t="s">
        <v>663</v>
      </c>
      <c r="AD7" s="17" t="s">
        <v>664</v>
      </c>
      <c r="AE7" s="188" t="s">
        <v>138</v>
      </c>
      <c r="AF7" s="188" t="s">
        <v>150</v>
      </c>
      <c r="AG7" s="188" t="s">
        <v>150</v>
      </c>
      <c r="AH7" s="290" t="s">
        <v>665</v>
      </c>
      <c r="AI7" s="197">
        <v>17</v>
      </c>
      <c r="AJ7" s="290" t="s">
        <v>666</v>
      </c>
      <c r="AK7" s="290" t="s">
        <v>667</v>
      </c>
      <c r="AL7" s="283">
        <v>5</v>
      </c>
      <c r="AM7" s="197" t="s">
        <v>666</v>
      </c>
      <c r="AN7" s="193" t="s">
        <v>668</v>
      </c>
      <c r="AO7" s="197" t="s">
        <v>669</v>
      </c>
      <c r="AP7" s="234" t="s">
        <v>670</v>
      </c>
      <c r="AQ7" s="188" t="s">
        <v>196</v>
      </c>
      <c r="AR7" s="189" t="s">
        <v>214</v>
      </c>
      <c r="AS7" s="185" t="s">
        <v>671</v>
      </c>
      <c r="AT7" s="188" t="s">
        <v>150</v>
      </c>
      <c r="AU7" s="185" t="s">
        <v>216</v>
      </c>
      <c r="AV7" s="188" t="s">
        <v>199</v>
      </c>
      <c r="AW7" s="196" t="s">
        <v>672</v>
      </c>
      <c r="AX7" s="185" t="s">
        <v>217</v>
      </c>
      <c r="AY7" s="196" t="s">
        <v>216</v>
      </c>
      <c r="AZ7" s="196" t="s">
        <v>216</v>
      </c>
      <c r="BA7" s="340" t="s">
        <v>673</v>
      </c>
      <c r="BB7" s="17" t="s">
        <v>674</v>
      </c>
      <c r="BC7" s="17" t="s">
        <v>173</v>
      </c>
      <c r="BD7" s="188" t="s">
        <v>675</v>
      </c>
      <c r="BE7" s="188" t="s">
        <v>165</v>
      </c>
      <c r="BF7" s="188" t="s">
        <v>216</v>
      </c>
      <c r="BG7" s="188" t="s">
        <v>150</v>
      </c>
      <c r="BH7" s="188" t="s">
        <v>676</v>
      </c>
      <c r="BI7" s="188" t="s">
        <v>204</v>
      </c>
      <c r="BJ7" s="188" t="s">
        <v>171</v>
      </c>
      <c r="BK7" s="188">
        <v>2</v>
      </c>
      <c r="BL7" s="191" t="s">
        <v>170</v>
      </c>
      <c r="BM7" s="17" t="s">
        <v>173</v>
      </c>
      <c r="BN7" s="188" t="s">
        <v>173</v>
      </c>
      <c r="BO7" s="17" t="s">
        <v>173</v>
      </c>
      <c r="BP7" s="188" t="s">
        <v>173</v>
      </c>
      <c r="BQ7" s="191" t="s">
        <v>677</v>
      </c>
      <c r="BR7" s="17" t="s">
        <v>138</v>
      </c>
      <c r="BS7" s="193" t="s">
        <v>678</v>
      </c>
      <c r="BT7" s="187" t="s">
        <v>209</v>
      </c>
      <c r="BU7" s="187" t="s">
        <v>679</v>
      </c>
      <c r="BV7" s="187" t="s">
        <v>680</v>
      </c>
      <c r="BW7" s="187" t="s">
        <v>216</v>
      </c>
      <c r="BX7" s="187" t="s">
        <v>216</v>
      </c>
      <c r="BY7" s="187" t="s">
        <v>216</v>
      </c>
      <c r="BZ7" s="302" cm="1">
        <f t="array" ref="BZ7">SUMPRODUCT(($B$4:$BY$4="Must have")*(B7:BY7&lt;&gt;"")*(UPPER(TRIM(B7:BY7))&lt;&gt;"TBD"))</f>
        <v>52</v>
      </c>
      <c r="CA7" s="302" cm="1">
        <f t="array" ref="CA7">SUMPRODUCT(($B$4:$BY$4="Must have")*((B7:BY7="")+(UPPER(TRIM(B7:BY7))="TBD")))</f>
        <v>0</v>
      </c>
      <c r="CB7" s="302" cm="1">
        <f t="array" ref="CB7">SUMPRODUCT(($B$4:$BY$4="Good to have")*(B7:BY7&lt;&gt;"")*(UPPER(TRIM(B7:BY7))&lt;&gt;"TBD"))</f>
        <v>23</v>
      </c>
      <c r="CC7" s="302" cm="1">
        <f t="array" ref="CC7">SUMPRODUCT(($B$4:$BY$4="Good to have")*((B7:BY7="")+(UPPER(TRIM(B7:BY7))="TBD")))</f>
        <v>0</v>
      </c>
      <c r="CD7" s="175" t="str">
        <f t="shared" ref="CD7:CD38" si="0">ROUND(((BZ7+CB7)/(BZ7+CA7+CB7+CC7)) * 100, 2) &amp; "%"</f>
        <v>100%</v>
      </c>
    </row>
    <row r="8" spans="1:84" ht="69.599999999999994" customHeight="1">
      <c r="A8" s="183" t="s">
        <v>218</v>
      </c>
      <c r="B8" s="190">
        <v>909</v>
      </c>
      <c r="C8" s="191" t="s">
        <v>219</v>
      </c>
      <c r="D8" s="191" t="s">
        <v>220</v>
      </c>
      <c r="E8" s="191" t="s">
        <v>219</v>
      </c>
      <c r="F8" s="191" t="s">
        <v>132</v>
      </c>
      <c r="G8" s="190" t="s">
        <v>681</v>
      </c>
      <c r="H8" s="220" t="s">
        <v>652</v>
      </c>
      <c r="I8" s="220" t="s">
        <v>682</v>
      </c>
      <c r="J8" s="303" t="s">
        <v>654</v>
      </c>
      <c r="K8" s="222" t="s">
        <v>182</v>
      </c>
      <c r="L8" s="17" t="s">
        <v>655</v>
      </c>
      <c r="M8" s="17" t="s">
        <v>221</v>
      </c>
      <c r="N8" s="17" t="s">
        <v>138</v>
      </c>
      <c r="O8" s="17" t="s">
        <v>223</v>
      </c>
      <c r="P8" s="347">
        <v>46387</v>
      </c>
      <c r="Q8" s="17" t="s">
        <v>656</v>
      </c>
      <c r="R8" s="15" t="s">
        <v>683</v>
      </c>
      <c r="S8" s="17" t="s">
        <v>187</v>
      </c>
      <c r="T8" s="17" t="s">
        <v>187</v>
      </c>
      <c r="U8" s="217" t="s">
        <v>684</v>
      </c>
      <c r="V8" s="215" t="s">
        <v>658</v>
      </c>
      <c r="W8" s="271" t="s">
        <v>685</v>
      </c>
      <c r="X8" s="193" t="s">
        <v>660</v>
      </c>
      <c r="Y8" s="17" t="s">
        <v>661</v>
      </c>
      <c r="Z8" s="17" t="s">
        <v>662</v>
      </c>
      <c r="AA8" s="17" t="s">
        <v>138</v>
      </c>
      <c r="AB8" s="191" t="s">
        <v>138</v>
      </c>
      <c r="AC8" s="17" t="s">
        <v>187</v>
      </c>
      <c r="AD8" s="17" t="s">
        <v>664</v>
      </c>
      <c r="AE8" s="191" t="s">
        <v>138</v>
      </c>
      <c r="AF8" s="17" t="s">
        <v>138</v>
      </c>
      <c r="AG8" s="17" t="s">
        <v>150</v>
      </c>
      <c r="AH8" s="272" t="s">
        <v>686</v>
      </c>
      <c r="AI8" s="197">
        <v>35</v>
      </c>
      <c r="AJ8" s="197" t="s">
        <v>687</v>
      </c>
      <c r="AK8" s="236" t="s">
        <v>688</v>
      </c>
      <c r="AL8" s="197">
        <v>90</v>
      </c>
      <c r="AM8" s="197" t="s">
        <v>689</v>
      </c>
      <c r="AN8" s="193" t="s">
        <v>668</v>
      </c>
      <c r="AO8" s="197" t="s">
        <v>669</v>
      </c>
      <c r="AP8" s="197" t="s">
        <v>690</v>
      </c>
      <c r="AQ8" s="17" t="s">
        <v>196</v>
      </c>
      <c r="AR8" s="17" t="s">
        <v>224</v>
      </c>
      <c r="AS8" s="191" t="s">
        <v>219</v>
      </c>
      <c r="AT8" s="17" t="s">
        <v>138</v>
      </c>
      <c r="AU8" s="193" t="s">
        <v>225</v>
      </c>
      <c r="AV8" s="17" t="s">
        <v>199</v>
      </c>
      <c r="AW8" s="196" t="s">
        <v>691</v>
      </c>
      <c r="AX8" s="193" t="s">
        <v>160</v>
      </c>
      <c r="AY8" s="196" t="s">
        <v>692</v>
      </c>
      <c r="AZ8" s="196" t="s">
        <v>693</v>
      </c>
      <c r="BA8" s="304" t="s">
        <v>694</v>
      </c>
      <c r="BB8" s="17" t="s">
        <v>674</v>
      </c>
      <c r="BC8" s="17" t="s">
        <v>173</v>
      </c>
      <c r="BD8" s="17" t="s">
        <v>166</v>
      </c>
      <c r="BE8" s="17" t="s">
        <v>166</v>
      </c>
      <c r="BF8" s="17" t="s">
        <v>216</v>
      </c>
      <c r="BG8" s="17" t="s">
        <v>150</v>
      </c>
      <c r="BH8" s="17" t="s">
        <v>203</v>
      </c>
      <c r="BI8" s="17" t="s">
        <v>204</v>
      </c>
      <c r="BJ8" s="17" t="s">
        <v>171</v>
      </c>
      <c r="BK8" s="17">
        <v>3</v>
      </c>
      <c r="BL8" s="191" t="s">
        <v>170</v>
      </c>
      <c r="BM8" s="17" t="s">
        <v>173</v>
      </c>
      <c r="BN8" s="17" t="s">
        <v>173</v>
      </c>
      <c r="BO8" s="17" t="s">
        <v>173</v>
      </c>
      <c r="BP8" s="305" t="s">
        <v>695</v>
      </c>
      <c r="BQ8" s="191" t="s">
        <v>677</v>
      </c>
      <c r="BR8" s="17" t="s">
        <v>138</v>
      </c>
      <c r="BS8" s="193" t="s">
        <v>678</v>
      </c>
      <c r="BT8" s="191" t="s">
        <v>219</v>
      </c>
      <c r="BU8" s="191" t="s">
        <v>696</v>
      </c>
      <c r="BV8" s="191" t="s">
        <v>697</v>
      </c>
      <c r="BW8" s="191" t="s">
        <v>698</v>
      </c>
      <c r="BX8" s="191" t="s">
        <v>699</v>
      </c>
      <c r="BY8" s="191" t="s">
        <v>700</v>
      </c>
      <c r="BZ8" s="302" cm="1">
        <f t="array" ref="BZ8">SUMPRODUCT(($B$4:$BY$4="Must have")*(B8:BY8&lt;&gt;"")*(UPPER(TRIM(B8:BY8))&lt;&gt;"TBD"))</f>
        <v>52</v>
      </c>
      <c r="CA8" s="302" cm="1">
        <f t="array" ref="CA8">SUMPRODUCT(($B$4:$BY$4="Must have")*((B8:BY8="")+(UPPER(TRIM(B8:BY8))="TBD")))</f>
        <v>0</v>
      </c>
      <c r="CB8" s="302" cm="1">
        <f t="array" ref="CB8">SUMPRODUCT(($B$4:$BY$4="Good to have")*(B8:BY8&lt;&gt;"")*(UPPER(TRIM(B8:BY8))&lt;&gt;"TBD"))</f>
        <v>23</v>
      </c>
      <c r="CC8" s="302" cm="1">
        <f t="array" ref="CC8">SUMPRODUCT(($B$4:$BY$4="Good to have")*((B8:BY8="")+(UPPER(TRIM(B8:BY8))="TBD")))</f>
        <v>0</v>
      </c>
      <c r="CD8" s="175" t="str">
        <f t="shared" si="0"/>
        <v>100%</v>
      </c>
      <c r="CF8" s="174" t="s">
        <v>701</v>
      </c>
    </row>
    <row r="9" spans="1:84" ht="18">
      <c r="A9" s="183" t="s">
        <v>226</v>
      </c>
      <c r="B9" s="190">
        <v>910</v>
      </c>
      <c r="C9" s="191" t="s">
        <v>227</v>
      </c>
      <c r="D9" s="191" t="s">
        <v>228</v>
      </c>
      <c r="E9" s="191" t="s">
        <v>227</v>
      </c>
      <c r="F9" s="191" t="s">
        <v>132</v>
      </c>
      <c r="G9" s="190" t="s">
        <v>681</v>
      </c>
      <c r="H9" s="193" t="s">
        <v>652</v>
      </c>
      <c r="I9" s="185" t="s">
        <v>229</v>
      </c>
      <c r="J9" s="305" t="s">
        <v>654</v>
      </c>
      <c r="K9" s="193" t="s">
        <v>182</v>
      </c>
      <c r="L9" s="17" t="s">
        <v>655</v>
      </c>
      <c r="M9" s="17" t="s">
        <v>221</v>
      </c>
      <c r="N9" s="17" t="s">
        <v>138</v>
      </c>
      <c r="O9" s="17" t="s">
        <v>223</v>
      </c>
      <c r="P9" s="348">
        <v>46387</v>
      </c>
      <c r="Q9" s="17" t="s">
        <v>656</v>
      </c>
      <c r="R9" s="17" t="s">
        <v>702</v>
      </c>
      <c r="S9" s="17" t="s">
        <v>187</v>
      </c>
      <c r="T9" s="17" t="s">
        <v>187</v>
      </c>
      <c r="U9" s="17" t="s">
        <v>684</v>
      </c>
      <c r="V9" s="200" t="s">
        <v>658</v>
      </c>
      <c r="W9" s="273" t="s">
        <v>703</v>
      </c>
      <c r="X9" s="193" t="s">
        <v>660</v>
      </c>
      <c r="Y9" s="17" t="s">
        <v>661</v>
      </c>
      <c r="Z9" s="17" t="s">
        <v>662</v>
      </c>
      <c r="AA9" s="17" t="s">
        <v>138</v>
      </c>
      <c r="AB9" s="191" t="s">
        <v>138</v>
      </c>
      <c r="AC9" s="17" t="s">
        <v>187</v>
      </c>
      <c r="AD9" s="17" t="s">
        <v>664</v>
      </c>
      <c r="AE9" s="191" t="s">
        <v>138</v>
      </c>
      <c r="AF9" s="17" t="s">
        <v>138</v>
      </c>
      <c r="AG9" s="17" t="s">
        <v>150</v>
      </c>
      <c r="AH9" s="274" t="s">
        <v>704</v>
      </c>
      <c r="AI9" s="281">
        <v>15</v>
      </c>
      <c r="AJ9" s="197" t="s">
        <v>687</v>
      </c>
      <c r="AK9" s="236" t="s">
        <v>705</v>
      </c>
      <c r="AL9" s="197">
        <v>60</v>
      </c>
      <c r="AM9" s="197" t="s">
        <v>689</v>
      </c>
      <c r="AN9" s="193" t="s">
        <v>668</v>
      </c>
      <c r="AO9" s="197" t="s">
        <v>669</v>
      </c>
      <c r="AP9" s="197" t="s">
        <v>706</v>
      </c>
      <c r="AQ9" s="17" t="s">
        <v>196</v>
      </c>
      <c r="AR9" s="17" t="s">
        <v>230</v>
      </c>
      <c r="AS9" s="191" t="s">
        <v>227</v>
      </c>
      <c r="AT9" s="17" t="s">
        <v>138</v>
      </c>
      <c r="AU9" s="193" t="s">
        <v>225</v>
      </c>
      <c r="AV9" s="17" t="s">
        <v>199</v>
      </c>
      <c r="AW9" s="196" t="s">
        <v>691</v>
      </c>
      <c r="AX9" s="193" t="s">
        <v>160</v>
      </c>
      <c r="AY9" s="196" t="s">
        <v>692</v>
      </c>
      <c r="AZ9" s="196" t="s">
        <v>693</v>
      </c>
      <c r="BA9" s="304" t="s">
        <v>694</v>
      </c>
      <c r="BB9" s="17" t="s">
        <v>674</v>
      </c>
      <c r="BC9" s="17" t="s">
        <v>173</v>
      </c>
      <c r="BD9" s="17" t="s">
        <v>166</v>
      </c>
      <c r="BE9" s="17" t="s">
        <v>166</v>
      </c>
      <c r="BF9" s="17" t="s">
        <v>216</v>
      </c>
      <c r="BG9" s="17" t="s">
        <v>150</v>
      </c>
      <c r="BH9" s="17" t="s">
        <v>203</v>
      </c>
      <c r="BI9" s="17" t="s">
        <v>204</v>
      </c>
      <c r="BJ9" s="17" t="s">
        <v>171</v>
      </c>
      <c r="BK9" s="17">
        <v>3</v>
      </c>
      <c r="BL9" s="191" t="s">
        <v>170</v>
      </c>
      <c r="BM9" s="17" t="s">
        <v>173</v>
      </c>
      <c r="BN9" s="17" t="s">
        <v>173</v>
      </c>
      <c r="BO9" s="17" t="s">
        <v>173</v>
      </c>
      <c r="BP9" s="191" t="s">
        <v>707</v>
      </c>
      <c r="BQ9" s="191" t="s">
        <v>677</v>
      </c>
      <c r="BR9" s="17" t="s">
        <v>138</v>
      </c>
      <c r="BS9" s="193" t="s">
        <v>678</v>
      </c>
      <c r="BT9" s="191" t="s">
        <v>227</v>
      </c>
      <c r="BU9" s="191" t="s">
        <v>696</v>
      </c>
      <c r="BV9" s="191" t="s">
        <v>697</v>
      </c>
      <c r="BW9" s="191" t="s">
        <v>698</v>
      </c>
      <c r="BX9" s="191" t="s">
        <v>699</v>
      </c>
      <c r="BY9" s="191" t="s">
        <v>700</v>
      </c>
      <c r="BZ9" s="302" cm="1">
        <f t="array" ref="BZ9">SUMPRODUCT(($B$4:$BY$4="Must have")*(B9:BY9&lt;&gt;"")*(UPPER(TRIM(B9:BY9))&lt;&gt;"TBD"))</f>
        <v>52</v>
      </c>
      <c r="CA9" s="302" cm="1">
        <f t="array" ref="CA9">SUMPRODUCT(($B$4:$BY$4="Must have")*((B9:BY9="")+(UPPER(TRIM(B9:BY9))="TBD")))</f>
        <v>0</v>
      </c>
      <c r="CB9" s="302" cm="1">
        <f t="array" ref="CB9">SUMPRODUCT(($B$4:$BY$4="Good to have")*(B9:BY9&lt;&gt;"")*(UPPER(TRIM(B9:BY9))&lt;&gt;"TBD"))</f>
        <v>23</v>
      </c>
      <c r="CC9" s="302" cm="1">
        <f t="array" ref="CC9">SUMPRODUCT(($B$4:$BY$4="Good to have")*((B9:BY9="")+(UPPER(TRIM(B9:BY9))="TBD")))</f>
        <v>0</v>
      </c>
      <c r="CD9" s="175" t="str">
        <f t="shared" si="0"/>
        <v>100%</v>
      </c>
      <c r="CF9" s="174" t="s">
        <v>701</v>
      </c>
    </row>
    <row r="10" spans="1:84" s="33" customFormat="1" ht="52.5" customHeight="1">
      <c r="A10" s="288" t="s">
        <v>231</v>
      </c>
      <c r="B10" s="118">
        <v>911</v>
      </c>
      <c r="C10" s="36" t="s">
        <v>232</v>
      </c>
      <c r="D10" s="36" t="s">
        <v>233</v>
      </c>
      <c r="E10" s="36" t="s">
        <v>708</v>
      </c>
      <c r="F10" s="36" t="s">
        <v>132</v>
      </c>
      <c r="G10" s="118" t="s">
        <v>681</v>
      </c>
      <c r="H10" s="35" t="s">
        <v>652</v>
      </c>
      <c r="I10" s="35" t="s">
        <v>709</v>
      </c>
      <c r="J10" s="36" t="s">
        <v>654</v>
      </c>
      <c r="K10" s="35" t="s">
        <v>182</v>
      </c>
      <c r="L10" s="15" t="s">
        <v>710</v>
      </c>
      <c r="M10" s="15" t="s">
        <v>221</v>
      </c>
      <c r="N10" s="15" t="s">
        <v>138</v>
      </c>
      <c r="O10" s="15" t="s">
        <v>223</v>
      </c>
      <c r="P10" s="349">
        <v>46387</v>
      </c>
      <c r="Q10" s="15" t="s">
        <v>711</v>
      </c>
      <c r="R10" s="15" t="s">
        <v>712</v>
      </c>
      <c r="S10" s="15" t="s">
        <v>187</v>
      </c>
      <c r="T10" s="15" t="s">
        <v>187</v>
      </c>
      <c r="U10" s="15" t="s">
        <v>713</v>
      </c>
      <c r="V10" s="294" t="s">
        <v>658</v>
      </c>
      <c r="W10" s="297" t="s">
        <v>714</v>
      </c>
      <c r="X10" s="35" t="s">
        <v>715</v>
      </c>
      <c r="Y10" s="15" t="s">
        <v>661</v>
      </c>
      <c r="Z10" s="15" t="s">
        <v>662</v>
      </c>
      <c r="AA10" s="15" t="s">
        <v>138</v>
      </c>
      <c r="AB10" s="36" t="s">
        <v>138</v>
      </c>
      <c r="AC10" s="15" t="s">
        <v>187</v>
      </c>
      <c r="AD10" s="15" t="s">
        <v>664</v>
      </c>
      <c r="AE10" s="36" t="s">
        <v>138</v>
      </c>
      <c r="AF10" s="15" t="s">
        <v>138</v>
      </c>
      <c r="AG10" s="15" t="s">
        <v>150</v>
      </c>
      <c r="AH10" s="284" t="s">
        <v>716</v>
      </c>
      <c r="AI10" s="298">
        <v>25</v>
      </c>
      <c r="AJ10" s="290" t="s">
        <v>689</v>
      </c>
      <c r="AK10" s="295" t="s">
        <v>717</v>
      </c>
      <c r="AL10" s="290">
        <v>80</v>
      </c>
      <c r="AM10" s="290" t="s">
        <v>689</v>
      </c>
      <c r="AN10" s="35" t="s">
        <v>668</v>
      </c>
      <c r="AO10" s="290" t="s">
        <v>669</v>
      </c>
      <c r="AP10" s="290" t="s">
        <v>718</v>
      </c>
      <c r="AQ10" s="15" t="s">
        <v>196</v>
      </c>
      <c r="AR10" s="15" t="s">
        <v>234</v>
      </c>
      <c r="AS10" s="36" t="s">
        <v>232</v>
      </c>
      <c r="AT10" s="15" t="s">
        <v>138</v>
      </c>
      <c r="AU10" s="35" t="s">
        <v>225</v>
      </c>
      <c r="AV10" s="15" t="s">
        <v>199</v>
      </c>
      <c r="AW10" s="291" t="s">
        <v>691</v>
      </c>
      <c r="AX10" s="35" t="s">
        <v>160</v>
      </c>
      <c r="AY10" s="291" t="s">
        <v>692</v>
      </c>
      <c r="AZ10" s="291" t="s">
        <v>693</v>
      </c>
      <c r="BA10" s="296" t="s">
        <v>694</v>
      </c>
      <c r="BB10" s="15" t="s">
        <v>674</v>
      </c>
      <c r="BC10" s="15" t="s">
        <v>173</v>
      </c>
      <c r="BD10" s="15" t="s">
        <v>166</v>
      </c>
      <c r="BE10" s="15" t="s">
        <v>166</v>
      </c>
      <c r="BF10" s="15" t="s">
        <v>216</v>
      </c>
      <c r="BG10" s="15" t="s">
        <v>150</v>
      </c>
      <c r="BH10" s="15" t="s">
        <v>203</v>
      </c>
      <c r="BI10" s="15" t="s">
        <v>204</v>
      </c>
      <c r="BJ10" s="15" t="s">
        <v>171</v>
      </c>
      <c r="BK10" s="15">
        <v>3</v>
      </c>
      <c r="BL10" s="36" t="s">
        <v>170</v>
      </c>
      <c r="BM10" s="15" t="s">
        <v>173</v>
      </c>
      <c r="BN10" s="15" t="s">
        <v>173</v>
      </c>
      <c r="BO10" s="15" t="s">
        <v>173</v>
      </c>
      <c r="BP10" s="36" t="s">
        <v>719</v>
      </c>
      <c r="BQ10" s="36" t="s">
        <v>677</v>
      </c>
      <c r="BR10" s="15" t="s">
        <v>138</v>
      </c>
      <c r="BS10" s="35" t="s">
        <v>678</v>
      </c>
      <c r="BT10" s="36" t="s">
        <v>232</v>
      </c>
      <c r="BU10" s="36" t="s">
        <v>229</v>
      </c>
      <c r="BV10" s="36" t="s">
        <v>697</v>
      </c>
      <c r="BW10" s="36" t="s">
        <v>698</v>
      </c>
      <c r="BX10" s="36" t="s">
        <v>699</v>
      </c>
      <c r="BY10" s="36" t="s">
        <v>700</v>
      </c>
      <c r="BZ10" s="292" cm="1">
        <f t="array" ref="BZ10">SUMPRODUCT(($B$4:$BY$4="Must have")*(B10:BY10&lt;&gt;"")*(UPPER(TRIM(B10:BY10))&lt;&gt;"TBD"))</f>
        <v>52</v>
      </c>
      <c r="CA10" s="292" cm="1">
        <f t="array" ref="CA10">SUMPRODUCT(($B$4:$BY$4="Must have")*((B10:BY10="")+(UPPER(TRIM(B10:BY10))="TBD")))</f>
        <v>0</v>
      </c>
      <c r="CB10" s="292" cm="1">
        <f t="array" ref="CB10">SUMPRODUCT(($B$4:$BY$4="Good to have")*(B10:BY10&lt;&gt;"")*(UPPER(TRIM(B10:BY10))&lt;&gt;"TBD"))</f>
        <v>23</v>
      </c>
      <c r="CC10" s="292" cm="1">
        <f t="array" ref="CC10">SUMPRODUCT(($B$4:$BY$4="Good to have")*((B10:BY10="")+(UPPER(TRIM(B10:BY10))="TBD")))</f>
        <v>0</v>
      </c>
      <c r="CD10" s="286" t="str">
        <f t="shared" si="0"/>
        <v>100%</v>
      </c>
      <c r="CF10" s="33" t="s">
        <v>701</v>
      </c>
    </row>
    <row r="11" spans="1:84" ht="18">
      <c r="A11" s="183" t="s">
        <v>235</v>
      </c>
      <c r="B11" s="190">
        <v>912</v>
      </c>
      <c r="C11" s="191" t="s">
        <v>236</v>
      </c>
      <c r="D11" s="191" t="s">
        <v>237</v>
      </c>
      <c r="E11" s="191" t="s">
        <v>236</v>
      </c>
      <c r="F11" s="191" t="s">
        <v>132</v>
      </c>
      <c r="G11" s="190" t="s">
        <v>681</v>
      </c>
      <c r="H11" s="193" t="s">
        <v>652</v>
      </c>
      <c r="I11" s="193" t="s">
        <v>682</v>
      </c>
      <c r="J11" s="191" t="s">
        <v>654</v>
      </c>
      <c r="K11" s="193" t="s">
        <v>182</v>
      </c>
      <c r="L11" s="17" t="s">
        <v>655</v>
      </c>
      <c r="M11" s="17" t="s">
        <v>221</v>
      </c>
      <c r="N11" s="17" t="s">
        <v>138</v>
      </c>
      <c r="O11" s="17" t="s">
        <v>223</v>
      </c>
      <c r="P11" s="348">
        <v>46387</v>
      </c>
      <c r="Q11" s="17" t="s">
        <v>656</v>
      </c>
      <c r="R11" s="17" t="s">
        <v>683</v>
      </c>
      <c r="S11" s="17" t="s">
        <v>187</v>
      </c>
      <c r="T11" s="17" t="s">
        <v>187</v>
      </c>
      <c r="U11" s="17" t="s">
        <v>684</v>
      </c>
      <c r="V11" s="200" t="s">
        <v>658</v>
      </c>
      <c r="W11" s="273" t="s">
        <v>714</v>
      </c>
      <c r="X11" s="193" t="s">
        <v>660</v>
      </c>
      <c r="Y11" s="17" t="s">
        <v>661</v>
      </c>
      <c r="Z11" s="17" t="s">
        <v>662</v>
      </c>
      <c r="AA11" s="17" t="s">
        <v>150</v>
      </c>
      <c r="AB11" s="191" t="s">
        <v>138</v>
      </c>
      <c r="AC11" s="17" t="s">
        <v>187</v>
      </c>
      <c r="AD11" s="17" t="s">
        <v>664</v>
      </c>
      <c r="AE11" s="191" t="s">
        <v>138</v>
      </c>
      <c r="AF11" s="17" t="s">
        <v>138</v>
      </c>
      <c r="AG11" s="217" t="s">
        <v>150</v>
      </c>
      <c r="AH11" s="272" t="s">
        <v>686</v>
      </c>
      <c r="AI11" s="281">
        <v>172</v>
      </c>
      <c r="AJ11" s="197" t="s">
        <v>687</v>
      </c>
      <c r="AK11" s="236" t="s">
        <v>215</v>
      </c>
      <c r="AL11" s="197">
        <v>210</v>
      </c>
      <c r="AM11" s="197" t="s">
        <v>689</v>
      </c>
      <c r="AN11" s="193" t="s">
        <v>668</v>
      </c>
      <c r="AO11" s="197" t="s">
        <v>669</v>
      </c>
      <c r="AP11" s="197" t="s">
        <v>720</v>
      </c>
      <c r="AQ11" s="17" t="s">
        <v>196</v>
      </c>
      <c r="AR11" s="17" t="s">
        <v>238</v>
      </c>
      <c r="AS11" s="191" t="s">
        <v>236</v>
      </c>
      <c r="AT11" s="17" t="s">
        <v>138</v>
      </c>
      <c r="AU11" s="193" t="s">
        <v>225</v>
      </c>
      <c r="AV11" s="17" t="s">
        <v>199</v>
      </c>
      <c r="AW11" s="196" t="s">
        <v>691</v>
      </c>
      <c r="AX11" s="193" t="s">
        <v>160</v>
      </c>
      <c r="AY11" s="196" t="s">
        <v>692</v>
      </c>
      <c r="AZ11" s="196" t="s">
        <v>693</v>
      </c>
      <c r="BA11" s="216" t="s">
        <v>721</v>
      </c>
      <c r="BB11" s="17" t="s">
        <v>674</v>
      </c>
      <c r="BC11" s="17" t="s">
        <v>173</v>
      </c>
      <c r="BD11" s="17"/>
      <c r="BE11" s="17"/>
      <c r="BF11" s="17"/>
      <c r="BG11" s="17" t="s">
        <v>150</v>
      </c>
      <c r="BH11" s="17" t="s">
        <v>203</v>
      </c>
      <c r="BI11" s="17" t="s">
        <v>204</v>
      </c>
      <c r="BJ11" s="17" t="s">
        <v>171</v>
      </c>
      <c r="BK11" s="17">
        <v>3</v>
      </c>
      <c r="BL11" s="191" t="s">
        <v>170</v>
      </c>
      <c r="BM11" s="17" t="s">
        <v>173</v>
      </c>
      <c r="BN11" s="17" t="s">
        <v>173</v>
      </c>
      <c r="BO11" s="17" t="s">
        <v>173</v>
      </c>
      <c r="BP11" s="191" t="s">
        <v>722</v>
      </c>
      <c r="BQ11" s="191" t="s">
        <v>677</v>
      </c>
      <c r="BR11" s="17" t="s">
        <v>138</v>
      </c>
      <c r="BS11" s="193" t="s">
        <v>678</v>
      </c>
      <c r="BT11" s="191" t="s">
        <v>236</v>
      </c>
      <c r="BU11" s="191" t="s">
        <v>229</v>
      </c>
      <c r="BV11" s="191" t="s">
        <v>697</v>
      </c>
      <c r="BW11" s="191" t="s">
        <v>698</v>
      </c>
      <c r="BX11" s="191" t="s">
        <v>699</v>
      </c>
      <c r="BY11" s="191" t="s">
        <v>700</v>
      </c>
      <c r="BZ11" s="302" cm="1">
        <f t="array" ref="BZ11">SUMPRODUCT(($B$4:$BY$4="Must have")*(B11:BY11&lt;&gt;"")*(UPPER(TRIM(B11:BY11))&lt;&gt;"TBD"))</f>
        <v>51</v>
      </c>
      <c r="CA11" s="302" cm="1">
        <f t="array" ref="CA11">SUMPRODUCT(($B$4:$BY$4="Must have")*((B11:BY11="")+(UPPER(TRIM(B11:BY11))="TBD")))</f>
        <v>1</v>
      </c>
      <c r="CB11" s="302" cm="1">
        <f t="array" ref="CB11">SUMPRODUCT(($B$4:$BY$4="Good to have")*(B11:BY11&lt;&gt;"")*(UPPER(TRIM(B11:BY11))&lt;&gt;"TBD"))</f>
        <v>20</v>
      </c>
      <c r="CC11" s="302" cm="1">
        <f t="array" ref="CC11">SUMPRODUCT(($B$4:$BY$4="Good to have")*((B11:BY11="")+(UPPER(TRIM(B11:BY11))="TBD")))</f>
        <v>3</v>
      </c>
      <c r="CD11" s="175" t="str">
        <f t="shared" si="0"/>
        <v>94.67%</v>
      </c>
      <c r="CF11" s="174" t="s">
        <v>701</v>
      </c>
    </row>
    <row r="12" spans="1:84" ht="18">
      <c r="A12" s="183" t="s">
        <v>239</v>
      </c>
      <c r="B12" s="190">
        <v>921</v>
      </c>
      <c r="C12" s="191" t="s">
        <v>240</v>
      </c>
      <c r="D12" s="191" t="s">
        <v>723</v>
      </c>
      <c r="E12" s="191" t="s">
        <v>240</v>
      </c>
      <c r="F12" s="191" t="s">
        <v>132</v>
      </c>
      <c r="G12" s="190" t="s">
        <v>681</v>
      </c>
      <c r="H12" s="193" t="s">
        <v>652</v>
      </c>
      <c r="I12" s="193" t="s">
        <v>229</v>
      </c>
      <c r="J12" s="191" t="s">
        <v>654</v>
      </c>
      <c r="K12" s="193" t="s">
        <v>182</v>
      </c>
      <c r="L12" s="17" t="s">
        <v>710</v>
      </c>
      <c r="M12" s="17" t="s">
        <v>221</v>
      </c>
      <c r="N12" s="17" t="s">
        <v>138</v>
      </c>
      <c r="O12" s="17" t="s">
        <v>223</v>
      </c>
      <c r="P12" s="348">
        <v>46387</v>
      </c>
      <c r="Q12" s="17" t="s">
        <v>711</v>
      </c>
      <c r="R12" s="17" t="s">
        <v>712</v>
      </c>
      <c r="S12" s="17" t="s">
        <v>187</v>
      </c>
      <c r="T12" s="196" t="s">
        <v>187</v>
      </c>
      <c r="U12" s="17" t="s">
        <v>713</v>
      </c>
      <c r="V12" s="227" t="s">
        <v>658</v>
      </c>
      <c r="W12" s="273" t="s">
        <v>714</v>
      </c>
      <c r="X12" s="193" t="s">
        <v>715</v>
      </c>
      <c r="Y12" s="17" t="s">
        <v>661</v>
      </c>
      <c r="Z12" s="17" t="s">
        <v>662</v>
      </c>
      <c r="AA12" s="17" t="s">
        <v>138</v>
      </c>
      <c r="AB12" s="17" t="s">
        <v>138</v>
      </c>
      <c r="AC12" s="17" t="s">
        <v>187</v>
      </c>
      <c r="AD12" s="17" t="s">
        <v>664</v>
      </c>
      <c r="AE12" s="191" t="s">
        <v>138</v>
      </c>
      <c r="AF12" s="17" t="s">
        <v>138</v>
      </c>
      <c r="AG12" s="17" t="s">
        <v>150</v>
      </c>
      <c r="AH12" s="275" t="s">
        <v>724</v>
      </c>
      <c r="AI12" s="281">
        <v>25</v>
      </c>
      <c r="AJ12" s="197" t="s">
        <v>689</v>
      </c>
      <c r="AK12" s="236" t="s">
        <v>725</v>
      </c>
      <c r="AL12" s="197">
        <v>30</v>
      </c>
      <c r="AM12" s="197" t="s">
        <v>689</v>
      </c>
      <c r="AN12" s="193" t="s">
        <v>668</v>
      </c>
      <c r="AO12" s="197" t="s">
        <v>669</v>
      </c>
      <c r="AP12" s="197" t="s">
        <v>726</v>
      </c>
      <c r="AQ12" s="17" t="s">
        <v>196</v>
      </c>
      <c r="AR12" s="17" t="s">
        <v>242</v>
      </c>
      <c r="AS12" s="191" t="s">
        <v>243</v>
      </c>
      <c r="AT12" s="191" t="s">
        <v>138</v>
      </c>
      <c r="AU12" s="193" t="s">
        <v>225</v>
      </c>
      <c r="AV12" s="17" t="s">
        <v>199</v>
      </c>
      <c r="AW12" s="196" t="s">
        <v>727</v>
      </c>
      <c r="AX12" s="193" t="s">
        <v>160</v>
      </c>
      <c r="AY12" s="196" t="s">
        <v>692</v>
      </c>
      <c r="AZ12" s="196" t="s">
        <v>693</v>
      </c>
      <c r="BA12" s="304" t="s">
        <v>694</v>
      </c>
      <c r="BB12" s="17" t="s">
        <v>674</v>
      </c>
      <c r="BC12" s="17" t="s">
        <v>173</v>
      </c>
      <c r="BD12" s="17" t="s">
        <v>166</v>
      </c>
      <c r="BE12" s="17" t="s">
        <v>166</v>
      </c>
      <c r="BF12" s="17" t="s">
        <v>216</v>
      </c>
      <c r="BG12" s="17" t="s">
        <v>150</v>
      </c>
      <c r="BH12" s="17" t="s">
        <v>203</v>
      </c>
      <c r="BI12" s="17" t="s">
        <v>204</v>
      </c>
      <c r="BJ12" s="17" t="s">
        <v>171</v>
      </c>
      <c r="BK12" s="17">
        <v>3</v>
      </c>
      <c r="BL12" s="191" t="s">
        <v>170</v>
      </c>
      <c r="BM12" s="17" t="s">
        <v>173</v>
      </c>
      <c r="BN12" s="17" t="s">
        <v>173</v>
      </c>
      <c r="BO12" s="17" t="s">
        <v>173</v>
      </c>
      <c r="BP12" s="191" t="s">
        <v>728</v>
      </c>
      <c r="BQ12" s="191" t="s">
        <v>138</v>
      </c>
      <c r="BR12" s="191" t="s">
        <v>138</v>
      </c>
      <c r="BS12" s="193" t="s">
        <v>678</v>
      </c>
      <c r="BT12" s="191" t="s">
        <v>240</v>
      </c>
      <c r="BU12" s="191" t="s">
        <v>729</v>
      </c>
      <c r="BV12" s="191" t="s">
        <v>697</v>
      </c>
      <c r="BW12" s="191" t="s">
        <v>698</v>
      </c>
      <c r="BX12" s="191" t="s">
        <v>699</v>
      </c>
      <c r="BY12" s="191" t="s">
        <v>700</v>
      </c>
      <c r="BZ12" s="302" cm="1">
        <f t="array" ref="BZ12">SUMPRODUCT(($B$4:$BY$4="Must have")*(B12:BY12&lt;&gt;"")*(UPPER(TRIM(B12:BY12))&lt;&gt;"TBD"))</f>
        <v>52</v>
      </c>
      <c r="CA12" s="302" cm="1">
        <f t="array" ref="CA12">SUMPRODUCT(($B$4:$BY$4="Must have")*((B12:BY12="")+(UPPER(TRIM(B12:BY12))="TBD")))</f>
        <v>0</v>
      </c>
      <c r="CB12" s="302" cm="1">
        <f t="array" ref="CB12">SUMPRODUCT(($B$4:$BY$4="Good to have")*(B12:BY12&lt;&gt;"")*(UPPER(TRIM(B12:BY12))&lt;&gt;"TBD"))</f>
        <v>23</v>
      </c>
      <c r="CC12" s="302" cm="1">
        <f t="array" ref="CC12">SUMPRODUCT(($B$4:$BY$4="Good to have")*((B12:BY12="")+(UPPER(TRIM(B12:BY12))="TBD")))</f>
        <v>0</v>
      </c>
      <c r="CD12" s="175" t="str">
        <f t="shared" si="0"/>
        <v>100%</v>
      </c>
      <c r="CF12" s="174" t="s">
        <v>701</v>
      </c>
    </row>
    <row r="13" spans="1:84" s="33" customFormat="1" ht="42" customHeight="1" thickBot="1">
      <c r="A13" s="288" t="s">
        <v>244</v>
      </c>
      <c r="B13" s="118">
        <v>923</v>
      </c>
      <c r="C13" s="36" t="s">
        <v>245</v>
      </c>
      <c r="D13" s="36" t="s">
        <v>246</v>
      </c>
      <c r="E13" s="36" t="s">
        <v>730</v>
      </c>
      <c r="F13" s="36" t="s">
        <v>132</v>
      </c>
      <c r="G13" s="118" t="s">
        <v>681</v>
      </c>
      <c r="H13" s="35" t="s">
        <v>652</v>
      </c>
      <c r="I13" s="35" t="s">
        <v>229</v>
      </c>
      <c r="J13" s="36" t="s">
        <v>654</v>
      </c>
      <c r="K13" s="35" t="s">
        <v>182</v>
      </c>
      <c r="L13" s="15" t="s">
        <v>710</v>
      </c>
      <c r="M13" s="15" t="s">
        <v>221</v>
      </c>
      <c r="N13" s="15" t="s">
        <v>138</v>
      </c>
      <c r="O13" s="15" t="s">
        <v>223</v>
      </c>
      <c r="P13" s="349">
        <v>46387</v>
      </c>
      <c r="Q13" s="15" t="s">
        <v>711</v>
      </c>
      <c r="R13" s="15" t="s">
        <v>731</v>
      </c>
      <c r="S13" s="15" t="s">
        <v>187</v>
      </c>
      <c r="T13" s="291" t="s">
        <v>187</v>
      </c>
      <c r="U13" s="293" t="s">
        <v>713</v>
      </c>
      <c r="V13" s="294" t="s">
        <v>658</v>
      </c>
      <c r="W13" s="297" t="s">
        <v>714</v>
      </c>
      <c r="X13" s="35" t="s">
        <v>715</v>
      </c>
      <c r="Y13" s="15" t="s">
        <v>661</v>
      </c>
      <c r="Z13" s="15" t="s">
        <v>662</v>
      </c>
      <c r="AA13" s="15" t="s">
        <v>138</v>
      </c>
      <c r="AB13" s="15" t="s">
        <v>138</v>
      </c>
      <c r="AC13" s="15" t="s">
        <v>187</v>
      </c>
      <c r="AD13" s="15" t="s">
        <v>664</v>
      </c>
      <c r="AE13" s="36" t="s">
        <v>138</v>
      </c>
      <c r="AF13" s="15" t="s">
        <v>138</v>
      </c>
      <c r="AG13" s="15" t="s">
        <v>150</v>
      </c>
      <c r="AH13" s="299" t="s">
        <v>732</v>
      </c>
      <c r="AI13" s="298">
        <v>20</v>
      </c>
      <c r="AJ13" s="290" t="s">
        <v>689</v>
      </c>
      <c r="AK13" s="295" t="s">
        <v>733</v>
      </c>
      <c r="AL13" s="290">
        <v>105</v>
      </c>
      <c r="AM13" s="290" t="s">
        <v>689</v>
      </c>
      <c r="AN13" s="35" t="s">
        <v>668</v>
      </c>
      <c r="AO13" s="290" t="s">
        <v>669</v>
      </c>
      <c r="AP13" s="290" t="s">
        <v>726</v>
      </c>
      <c r="AQ13" s="15" t="s">
        <v>196</v>
      </c>
      <c r="AR13" s="15" t="s">
        <v>247</v>
      </c>
      <c r="AS13" s="36" t="s">
        <v>245</v>
      </c>
      <c r="AT13" s="35" t="s">
        <v>734</v>
      </c>
      <c r="AU13" s="35" t="s">
        <v>225</v>
      </c>
      <c r="AV13" s="15" t="s">
        <v>199</v>
      </c>
      <c r="AW13" s="291" t="s">
        <v>727</v>
      </c>
      <c r="AX13" s="35" t="s">
        <v>160</v>
      </c>
      <c r="AY13" s="291" t="s">
        <v>692</v>
      </c>
      <c r="AZ13" s="291" t="s">
        <v>693</v>
      </c>
      <c r="BA13" s="296" t="s">
        <v>694</v>
      </c>
      <c r="BB13" s="15" t="s">
        <v>674</v>
      </c>
      <c r="BC13" s="15" t="s">
        <v>173</v>
      </c>
      <c r="BD13" s="15" t="s">
        <v>166</v>
      </c>
      <c r="BE13" s="15" t="s">
        <v>166</v>
      </c>
      <c r="BF13" s="15" t="s">
        <v>216</v>
      </c>
      <c r="BG13" s="15" t="s">
        <v>150</v>
      </c>
      <c r="BH13" s="15" t="s">
        <v>203</v>
      </c>
      <c r="BI13" s="15" t="s">
        <v>204</v>
      </c>
      <c r="BJ13" s="15" t="s">
        <v>171</v>
      </c>
      <c r="BK13" s="15">
        <v>3</v>
      </c>
      <c r="BL13" s="36" t="s">
        <v>170</v>
      </c>
      <c r="BM13" s="15" t="s">
        <v>173</v>
      </c>
      <c r="BN13" s="15" t="s">
        <v>173</v>
      </c>
      <c r="BO13" s="15" t="s">
        <v>173</v>
      </c>
      <c r="BP13" s="36" t="s">
        <v>735</v>
      </c>
      <c r="BQ13" s="36" t="s">
        <v>138</v>
      </c>
      <c r="BR13" s="36" t="s">
        <v>138</v>
      </c>
      <c r="BS13" s="35" t="s">
        <v>678</v>
      </c>
      <c r="BT13" s="36" t="s">
        <v>245</v>
      </c>
      <c r="BU13" s="36" t="s">
        <v>229</v>
      </c>
      <c r="BV13" s="36" t="s">
        <v>697</v>
      </c>
      <c r="BW13" s="36" t="s">
        <v>698</v>
      </c>
      <c r="BX13" s="36" t="s">
        <v>699</v>
      </c>
      <c r="BY13" s="36" t="s">
        <v>700</v>
      </c>
      <c r="BZ13" s="292" cm="1">
        <f t="array" ref="BZ13">SUMPRODUCT(($B$4:$BY$4="Must have")*(B13:BY13&lt;&gt;"")*(UPPER(TRIM(B13:BY13))&lt;&gt;"TBD"))</f>
        <v>52</v>
      </c>
      <c r="CA13" s="292" cm="1">
        <f t="array" ref="CA13">SUMPRODUCT(($B$4:$BY$4="Must have")*((B13:BY13="")+(UPPER(TRIM(B13:BY13))="TBD")))</f>
        <v>0</v>
      </c>
      <c r="CB13" s="292" cm="1">
        <f t="array" ref="CB13">SUMPRODUCT(($B$4:$BY$4="Good to have")*(B13:BY13&lt;&gt;"")*(UPPER(TRIM(B13:BY13))&lt;&gt;"TBD"))</f>
        <v>23</v>
      </c>
      <c r="CC13" s="292" cm="1">
        <f t="array" ref="CC13">SUMPRODUCT(($B$4:$BY$4="Good to have")*((B13:BY13="")+(UPPER(TRIM(B13:BY13))="TBD")))</f>
        <v>0</v>
      </c>
      <c r="CD13" s="286" t="str">
        <f t="shared" si="0"/>
        <v>100%</v>
      </c>
      <c r="CF13" s="33" t="s">
        <v>701</v>
      </c>
    </row>
    <row r="14" spans="1:84" ht="18.600000000000001" thickBot="1">
      <c r="A14" s="183" t="s">
        <v>248</v>
      </c>
      <c r="B14" s="190">
        <v>924</v>
      </c>
      <c r="C14" s="191" t="s">
        <v>249</v>
      </c>
      <c r="D14" s="191" t="s">
        <v>250</v>
      </c>
      <c r="E14" s="191" t="s">
        <v>249</v>
      </c>
      <c r="F14" s="191" t="s">
        <v>132</v>
      </c>
      <c r="G14" s="192" t="s">
        <v>681</v>
      </c>
      <c r="H14" s="193" t="s">
        <v>652</v>
      </c>
      <c r="I14" s="193" t="s">
        <v>709</v>
      </c>
      <c r="J14" s="191" t="s">
        <v>654</v>
      </c>
      <c r="K14" s="193" t="s">
        <v>182</v>
      </c>
      <c r="L14" s="17" t="s">
        <v>710</v>
      </c>
      <c r="M14" s="17" t="s">
        <v>221</v>
      </c>
      <c r="N14" s="17" t="s">
        <v>138</v>
      </c>
      <c r="O14" s="17" t="s">
        <v>223</v>
      </c>
      <c r="P14" s="348">
        <v>46387</v>
      </c>
      <c r="Q14" s="17" t="s">
        <v>711</v>
      </c>
      <c r="R14" s="17" t="s">
        <v>712</v>
      </c>
      <c r="S14" s="17" t="s">
        <v>187</v>
      </c>
      <c r="T14" s="17" t="s">
        <v>187</v>
      </c>
      <c r="U14" s="217" t="s">
        <v>713</v>
      </c>
      <c r="V14" s="215" t="s">
        <v>658</v>
      </c>
      <c r="W14" s="273" t="s">
        <v>714</v>
      </c>
      <c r="X14" s="193" t="s">
        <v>715</v>
      </c>
      <c r="Y14" s="17" t="s">
        <v>661</v>
      </c>
      <c r="Z14" s="17" t="s">
        <v>662</v>
      </c>
      <c r="AA14" s="17" t="s">
        <v>138</v>
      </c>
      <c r="AB14" s="17" t="s">
        <v>138</v>
      </c>
      <c r="AC14" s="17" t="s">
        <v>187</v>
      </c>
      <c r="AD14" s="17" t="s">
        <v>664</v>
      </c>
      <c r="AE14" s="191" t="s">
        <v>138</v>
      </c>
      <c r="AF14" s="17" t="s">
        <v>138</v>
      </c>
      <c r="AG14" s="17" t="s">
        <v>150</v>
      </c>
      <c r="AH14" s="306" t="s">
        <v>736</v>
      </c>
      <c r="AI14" s="281">
        <v>10</v>
      </c>
      <c r="AJ14" s="197" t="s">
        <v>689</v>
      </c>
      <c r="AK14" s="236" t="s">
        <v>737</v>
      </c>
      <c r="AL14" s="197">
        <v>75</v>
      </c>
      <c r="AM14" s="197" t="s">
        <v>738</v>
      </c>
      <c r="AN14" s="193" t="s">
        <v>668</v>
      </c>
      <c r="AO14" s="197" t="s">
        <v>669</v>
      </c>
      <c r="AP14" s="197" t="s">
        <v>739</v>
      </c>
      <c r="AQ14" s="17" t="s">
        <v>196</v>
      </c>
      <c r="AR14" s="17" t="s">
        <v>251</v>
      </c>
      <c r="AS14" s="191" t="s">
        <v>249</v>
      </c>
      <c r="AT14" s="17" t="s">
        <v>138</v>
      </c>
      <c r="AU14" s="193" t="s">
        <v>225</v>
      </c>
      <c r="AV14" s="17" t="s">
        <v>199</v>
      </c>
      <c r="AW14" s="196" t="s">
        <v>727</v>
      </c>
      <c r="AX14" s="193" t="s">
        <v>160</v>
      </c>
      <c r="AY14" s="196" t="s">
        <v>692</v>
      </c>
      <c r="AZ14" s="196" t="s">
        <v>693</v>
      </c>
      <c r="BA14" s="304" t="s">
        <v>694</v>
      </c>
      <c r="BB14" s="17" t="s">
        <v>674</v>
      </c>
      <c r="BC14" s="17" t="s">
        <v>173</v>
      </c>
      <c r="BD14" s="17" t="s">
        <v>166</v>
      </c>
      <c r="BE14" s="17" t="s">
        <v>166</v>
      </c>
      <c r="BF14" s="17" t="s">
        <v>216</v>
      </c>
      <c r="BG14" s="17" t="s">
        <v>150</v>
      </c>
      <c r="BH14" s="17" t="s">
        <v>203</v>
      </c>
      <c r="BI14" s="17" t="s">
        <v>204</v>
      </c>
      <c r="BJ14" s="17" t="s">
        <v>171</v>
      </c>
      <c r="BK14" s="17">
        <v>3</v>
      </c>
      <c r="BL14" s="191" t="s">
        <v>170</v>
      </c>
      <c r="BM14" s="17" t="s">
        <v>173</v>
      </c>
      <c r="BN14" s="17" t="s">
        <v>173</v>
      </c>
      <c r="BO14" s="17" t="s">
        <v>173</v>
      </c>
      <c r="BP14" s="238" t="s">
        <v>740</v>
      </c>
      <c r="BQ14" s="191" t="s">
        <v>138</v>
      </c>
      <c r="BR14" s="17" t="s">
        <v>138</v>
      </c>
      <c r="BS14" s="193" t="s">
        <v>678</v>
      </c>
      <c r="BT14" s="191" t="s">
        <v>249</v>
      </c>
      <c r="BU14" s="191" t="s">
        <v>229</v>
      </c>
      <c r="BV14" s="191" t="s">
        <v>697</v>
      </c>
      <c r="BW14" s="191" t="s">
        <v>698</v>
      </c>
      <c r="BX14" s="191" t="s">
        <v>699</v>
      </c>
      <c r="BY14" s="191" t="s">
        <v>700</v>
      </c>
      <c r="BZ14" s="302" cm="1">
        <f t="array" ref="BZ14">SUMPRODUCT(($B$4:$BY$4="Must have")*(B14:BY14&lt;&gt;"")*(UPPER(TRIM(B14:BY14))&lt;&gt;"TBD"))</f>
        <v>52</v>
      </c>
      <c r="CA14" s="302" cm="1">
        <f t="array" ref="CA14">SUMPRODUCT(($B$4:$BY$4="Must have")*((B14:BY14="")+(UPPER(TRIM(B14:BY14))="TBD")))</f>
        <v>0</v>
      </c>
      <c r="CB14" s="302" cm="1">
        <f t="array" ref="CB14">SUMPRODUCT(($B$4:$BY$4="Good to have")*(B14:BY14&lt;&gt;"")*(UPPER(TRIM(B14:BY14))&lt;&gt;"TBD"))</f>
        <v>23</v>
      </c>
      <c r="CC14" s="302" cm="1">
        <f t="array" ref="CC14">SUMPRODUCT(($B$4:$BY$4="Good to have")*((B14:BY14="")+(UPPER(TRIM(B14:BY14))="TBD")))</f>
        <v>0</v>
      </c>
      <c r="CD14" s="175" t="str">
        <f t="shared" si="0"/>
        <v>100%</v>
      </c>
      <c r="CF14" s="174" t="s">
        <v>701</v>
      </c>
    </row>
    <row r="15" spans="1:84" ht="18">
      <c r="A15" s="183" t="s">
        <v>252</v>
      </c>
      <c r="B15" s="190">
        <v>926</v>
      </c>
      <c r="C15" s="191" t="s">
        <v>253</v>
      </c>
      <c r="D15" s="191" t="s">
        <v>254</v>
      </c>
      <c r="E15" s="191" t="s">
        <v>741</v>
      </c>
      <c r="F15" s="191" t="s">
        <v>132</v>
      </c>
      <c r="G15" s="192" t="s">
        <v>681</v>
      </c>
      <c r="H15" s="193" t="s">
        <v>652</v>
      </c>
      <c r="I15" s="193" t="s">
        <v>229</v>
      </c>
      <c r="J15" s="191" t="s">
        <v>654</v>
      </c>
      <c r="K15" s="193" t="s">
        <v>182</v>
      </c>
      <c r="L15" s="17" t="s">
        <v>655</v>
      </c>
      <c r="M15" s="17" t="s">
        <v>221</v>
      </c>
      <c r="N15" s="17" t="s">
        <v>138</v>
      </c>
      <c r="O15" s="17" t="s">
        <v>223</v>
      </c>
      <c r="P15" s="348">
        <v>46387</v>
      </c>
      <c r="Q15" s="17" t="s">
        <v>711</v>
      </c>
      <c r="R15" s="307" t="s">
        <v>742</v>
      </c>
      <c r="S15" s="17" t="s">
        <v>187</v>
      </c>
      <c r="T15" s="17" t="s">
        <v>187</v>
      </c>
      <c r="U15" s="217" t="s">
        <v>684</v>
      </c>
      <c r="V15" s="227" t="s">
        <v>658</v>
      </c>
      <c r="W15" s="273" t="s">
        <v>743</v>
      </c>
      <c r="X15" s="193" t="s">
        <v>715</v>
      </c>
      <c r="Y15" s="17" t="s">
        <v>661</v>
      </c>
      <c r="Z15" s="17" t="s">
        <v>662</v>
      </c>
      <c r="AA15" s="17" t="s">
        <v>138</v>
      </c>
      <c r="AB15" s="191" t="s">
        <v>138</v>
      </c>
      <c r="AC15" s="17" t="s">
        <v>187</v>
      </c>
      <c r="AD15" s="17" t="s">
        <v>664</v>
      </c>
      <c r="AE15" s="191" t="s">
        <v>138</v>
      </c>
      <c r="AF15" s="17" t="s">
        <v>138</v>
      </c>
      <c r="AG15" s="17" t="s">
        <v>150</v>
      </c>
      <c r="AH15" s="308" t="s">
        <v>744</v>
      </c>
      <c r="AI15" s="281">
        <v>25</v>
      </c>
      <c r="AJ15" s="197" t="s">
        <v>689</v>
      </c>
      <c r="AK15" s="236" t="s">
        <v>688</v>
      </c>
      <c r="AL15" s="197">
        <v>85</v>
      </c>
      <c r="AM15" s="197" t="s">
        <v>689</v>
      </c>
      <c r="AN15" s="193" t="s">
        <v>668</v>
      </c>
      <c r="AO15" s="197" t="s">
        <v>669</v>
      </c>
      <c r="AP15" s="197" t="s">
        <v>745</v>
      </c>
      <c r="AQ15" s="17" t="s">
        <v>196</v>
      </c>
      <c r="AR15" s="17" t="s">
        <v>255</v>
      </c>
      <c r="AS15" s="191" t="s">
        <v>253</v>
      </c>
      <c r="AT15" s="17" t="s">
        <v>138</v>
      </c>
      <c r="AU15" s="193" t="s">
        <v>225</v>
      </c>
      <c r="AV15" s="17" t="s">
        <v>199</v>
      </c>
      <c r="AW15" s="196" t="s">
        <v>746</v>
      </c>
      <c r="AX15" s="193" t="s">
        <v>160</v>
      </c>
      <c r="AY15" s="196" t="s">
        <v>692</v>
      </c>
      <c r="AZ15" s="196" t="s">
        <v>693</v>
      </c>
      <c r="BA15" s="304" t="s">
        <v>694</v>
      </c>
      <c r="BB15" s="17" t="s">
        <v>674</v>
      </c>
      <c r="BC15" s="17" t="s">
        <v>173</v>
      </c>
      <c r="BD15" s="17" t="s">
        <v>166</v>
      </c>
      <c r="BE15" s="17" t="s">
        <v>166</v>
      </c>
      <c r="BF15" s="17" t="s">
        <v>216</v>
      </c>
      <c r="BG15" s="17" t="s">
        <v>150</v>
      </c>
      <c r="BH15" s="17" t="s">
        <v>203</v>
      </c>
      <c r="BI15" s="17" t="s">
        <v>204</v>
      </c>
      <c r="BJ15" s="17" t="s">
        <v>171</v>
      </c>
      <c r="BK15" s="17">
        <v>3</v>
      </c>
      <c r="BL15" s="191" t="s">
        <v>170</v>
      </c>
      <c r="BM15" s="17" t="s">
        <v>173</v>
      </c>
      <c r="BN15" s="17" t="s">
        <v>173</v>
      </c>
      <c r="BO15" s="17" t="s">
        <v>173</v>
      </c>
      <c r="BP15" s="191" t="s">
        <v>747</v>
      </c>
      <c r="BQ15" s="191" t="s">
        <v>138</v>
      </c>
      <c r="BR15" s="17" t="s">
        <v>138</v>
      </c>
      <c r="BS15" s="193" t="s">
        <v>678</v>
      </c>
      <c r="BT15" s="191" t="s">
        <v>253</v>
      </c>
      <c r="BU15" s="191" t="s">
        <v>729</v>
      </c>
      <c r="BV15" s="191" t="s">
        <v>697</v>
      </c>
      <c r="BW15" s="191" t="s">
        <v>698</v>
      </c>
      <c r="BX15" s="191" t="s">
        <v>699</v>
      </c>
      <c r="BY15" s="191" t="s">
        <v>700</v>
      </c>
      <c r="BZ15" s="302" cm="1">
        <f t="array" ref="BZ15">SUMPRODUCT(($B$4:$BY$4="Must have")*(B15:BY15&lt;&gt;"")*(UPPER(TRIM(B15:BY15))&lt;&gt;"TBD"))</f>
        <v>52</v>
      </c>
      <c r="CA15" s="302" cm="1">
        <f t="array" ref="CA15">SUMPRODUCT(($B$4:$BY$4="Must have")*((B15:BY15="")+(UPPER(TRIM(B15:BY15))="TBD")))</f>
        <v>0</v>
      </c>
      <c r="CB15" s="302" cm="1">
        <f t="array" ref="CB15">SUMPRODUCT(($B$4:$BY$4="Good to have")*(B15:BY15&lt;&gt;"")*(UPPER(TRIM(B15:BY15))&lt;&gt;"TBD"))</f>
        <v>23</v>
      </c>
      <c r="CC15" s="302" cm="1">
        <f t="array" ref="CC15">SUMPRODUCT(($B$4:$BY$4="Good to have")*((B15:BY15="")+(UPPER(TRIM(B15:BY15))="TBD")))</f>
        <v>0</v>
      </c>
      <c r="CD15" s="175" t="str">
        <f t="shared" si="0"/>
        <v>100%</v>
      </c>
      <c r="CF15" s="174" t="s">
        <v>701</v>
      </c>
    </row>
    <row r="16" spans="1:84" ht="28.5">
      <c r="A16" s="183" t="s">
        <v>256</v>
      </c>
      <c r="B16" s="190">
        <v>940</v>
      </c>
      <c r="C16" s="191" t="s">
        <v>257</v>
      </c>
      <c r="D16" s="191" t="s">
        <v>258</v>
      </c>
      <c r="E16" s="191"/>
      <c r="F16" s="191" t="s">
        <v>132</v>
      </c>
      <c r="G16" s="192" t="s">
        <v>651</v>
      </c>
      <c r="H16" s="220" t="s">
        <v>652</v>
      </c>
      <c r="I16" s="193" t="s">
        <v>748</v>
      </c>
      <c r="J16" s="303" t="s">
        <v>654</v>
      </c>
      <c r="K16" s="193" t="s">
        <v>182</v>
      </c>
      <c r="L16" s="17" t="s">
        <v>655</v>
      </c>
      <c r="M16" s="17" t="s">
        <v>749</v>
      </c>
      <c r="N16" s="17" t="s">
        <v>138</v>
      </c>
      <c r="O16" s="17" t="s">
        <v>212</v>
      </c>
      <c r="P16" s="347">
        <v>46446</v>
      </c>
      <c r="Q16" s="17" t="s">
        <v>656</v>
      </c>
      <c r="R16" s="15" t="s">
        <v>750</v>
      </c>
      <c r="S16" s="17" t="s">
        <v>142</v>
      </c>
      <c r="T16" s="17" t="s">
        <v>187</v>
      </c>
      <c r="U16" s="217" t="s">
        <v>259</v>
      </c>
      <c r="V16" s="336" t="s">
        <v>658</v>
      </c>
      <c r="W16" s="337" t="s">
        <v>659</v>
      </c>
      <c r="X16" s="193" t="s">
        <v>660</v>
      </c>
      <c r="Y16" s="17" t="s">
        <v>661</v>
      </c>
      <c r="Z16" s="17" t="s">
        <v>662</v>
      </c>
      <c r="AA16" s="17" t="s">
        <v>138</v>
      </c>
      <c r="AB16" s="191" t="s">
        <v>138</v>
      </c>
      <c r="AC16" s="17" t="s">
        <v>188</v>
      </c>
      <c r="AD16" s="17" t="s">
        <v>664</v>
      </c>
      <c r="AE16" s="191" t="s">
        <v>138</v>
      </c>
      <c r="AF16" s="17" t="s">
        <v>150</v>
      </c>
      <c r="AG16" s="188" t="s">
        <v>150</v>
      </c>
      <c r="AH16" s="197" t="s">
        <v>215</v>
      </c>
      <c r="AI16" s="234" t="s">
        <v>215</v>
      </c>
      <c r="AJ16" s="234" t="s">
        <v>215</v>
      </c>
      <c r="AK16" s="197" t="s">
        <v>215</v>
      </c>
      <c r="AL16" s="197" t="s">
        <v>215</v>
      </c>
      <c r="AM16" s="197" t="s">
        <v>215</v>
      </c>
      <c r="AN16" s="193" t="s">
        <v>668</v>
      </c>
      <c r="AO16" s="193" t="s">
        <v>751</v>
      </c>
      <c r="AP16" s="197" t="s">
        <v>215</v>
      </c>
      <c r="AQ16" s="17" t="s">
        <v>196</v>
      </c>
      <c r="AR16" s="224" t="s">
        <v>260</v>
      </c>
      <c r="AS16" s="191" t="s">
        <v>215</v>
      </c>
      <c r="AT16" s="17"/>
      <c r="AU16" s="193" t="s">
        <v>225</v>
      </c>
      <c r="AV16" s="17"/>
      <c r="AW16" s="196" t="s">
        <v>215</v>
      </c>
      <c r="AX16" s="193" t="s">
        <v>160</v>
      </c>
      <c r="AY16" s="196" t="s">
        <v>215</v>
      </c>
      <c r="AZ16" s="196" t="s">
        <v>215</v>
      </c>
      <c r="BA16" s="216" t="s">
        <v>752</v>
      </c>
      <c r="BB16" s="17" t="s">
        <v>674</v>
      </c>
      <c r="BC16" s="17" t="s">
        <v>173</v>
      </c>
      <c r="BD16" s="191"/>
      <c r="BE16" s="191"/>
      <c r="BF16" s="17"/>
      <c r="BG16" s="17" t="s">
        <v>150</v>
      </c>
      <c r="BH16" s="17"/>
      <c r="BI16" s="17"/>
      <c r="BJ16" s="17"/>
      <c r="BK16" s="17"/>
      <c r="BL16" s="191" t="s">
        <v>170</v>
      </c>
      <c r="BM16" s="17" t="s">
        <v>173</v>
      </c>
      <c r="BN16" s="17" t="s">
        <v>173</v>
      </c>
      <c r="BO16" s="17" t="s">
        <v>173</v>
      </c>
      <c r="BP16" s="191"/>
      <c r="BQ16" s="191" t="s">
        <v>138</v>
      </c>
      <c r="BR16" s="17" t="s">
        <v>138</v>
      </c>
      <c r="BS16" s="193"/>
      <c r="BT16" s="191" t="s">
        <v>257</v>
      </c>
      <c r="BU16" s="191"/>
      <c r="BV16" s="191" t="s">
        <v>753</v>
      </c>
      <c r="BW16" s="191" t="s">
        <v>754</v>
      </c>
      <c r="BX16" s="191" t="s">
        <v>755</v>
      </c>
      <c r="BY16" s="191" t="s">
        <v>700</v>
      </c>
      <c r="BZ16" s="302" cm="1">
        <f t="array" ref="BZ16">SUMPRODUCT(($B$4:$BY$4="Must have")*(B16:BY16&lt;&gt;"")*(UPPER(TRIM(B16:BY16))&lt;&gt;"TBD"))</f>
        <v>37</v>
      </c>
      <c r="CA16" s="302" cm="1">
        <f t="array" ref="CA16">SUMPRODUCT(($B$4:$BY$4="Must have")*((B16:BY16="")+(UPPER(TRIM(B16:BY16))="TBD")))</f>
        <v>15</v>
      </c>
      <c r="CB16" s="302" cm="1">
        <f t="array" ref="CB16">SUMPRODUCT(($B$4:$BY$4="Good to have")*(B16:BY16&lt;&gt;"")*(UPPER(TRIM(B16:BY16))&lt;&gt;"TBD"))</f>
        <v>14</v>
      </c>
      <c r="CC16" s="302" cm="1">
        <f t="array" ref="CC16">SUMPRODUCT(($B$4:$BY$4="Good to have")*((B16:BY16="")+(UPPER(TRIM(B16:BY16))="TBD")))</f>
        <v>9</v>
      </c>
      <c r="CD16" s="175" t="str">
        <f t="shared" si="0"/>
        <v>68%</v>
      </c>
    </row>
    <row r="17" spans="1:84" ht="175.5">
      <c r="A17" s="183" t="s">
        <v>261</v>
      </c>
      <c r="B17" s="190">
        <v>1208</v>
      </c>
      <c r="C17" s="191" t="s">
        <v>262</v>
      </c>
      <c r="D17" s="191" t="s">
        <v>263</v>
      </c>
      <c r="E17" s="342" t="s">
        <v>756</v>
      </c>
      <c r="F17" s="191" t="s">
        <v>132</v>
      </c>
      <c r="G17" s="192" t="s">
        <v>651</v>
      </c>
      <c r="H17" s="220" t="s">
        <v>652</v>
      </c>
      <c r="I17" s="193" t="s">
        <v>653</v>
      </c>
      <c r="J17" s="303" t="s">
        <v>654</v>
      </c>
      <c r="K17" s="193" t="s">
        <v>182</v>
      </c>
      <c r="L17" s="17" t="s">
        <v>655</v>
      </c>
      <c r="M17" s="17" t="s">
        <v>438</v>
      </c>
      <c r="N17" s="17" t="s">
        <v>138</v>
      </c>
      <c r="O17" s="17" t="s">
        <v>223</v>
      </c>
      <c r="P17" s="347">
        <v>46446</v>
      </c>
      <c r="Q17" s="17" t="s">
        <v>656</v>
      </c>
      <c r="R17" s="15" t="s">
        <v>750</v>
      </c>
      <c r="S17" s="17" t="s">
        <v>663</v>
      </c>
      <c r="T17" s="17" t="s">
        <v>187</v>
      </c>
      <c r="U17" s="217" t="s">
        <v>259</v>
      </c>
      <c r="V17" s="336" t="s">
        <v>658</v>
      </c>
      <c r="W17" s="337" t="s">
        <v>659</v>
      </c>
      <c r="X17" s="193" t="s">
        <v>660</v>
      </c>
      <c r="Y17" s="17" t="s">
        <v>661</v>
      </c>
      <c r="Z17" s="17" t="s">
        <v>662</v>
      </c>
      <c r="AA17" s="17" t="s">
        <v>150</v>
      </c>
      <c r="AB17" s="191" t="s">
        <v>150</v>
      </c>
      <c r="AC17" s="17" t="s">
        <v>663</v>
      </c>
      <c r="AD17" s="17" t="s">
        <v>664</v>
      </c>
      <c r="AE17" s="191" t="s">
        <v>138</v>
      </c>
      <c r="AF17" s="17" t="s">
        <v>150</v>
      </c>
      <c r="AG17" s="188" t="s">
        <v>150</v>
      </c>
      <c r="AH17" s="290" t="s">
        <v>757</v>
      </c>
      <c r="AI17" s="197">
        <v>18</v>
      </c>
      <c r="AJ17" s="290" t="s">
        <v>758</v>
      </c>
      <c r="AK17" s="197" t="s">
        <v>216</v>
      </c>
      <c r="AL17" s="197">
        <v>0</v>
      </c>
      <c r="AM17" s="197">
        <v>0</v>
      </c>
      <c r="AN17" s="193" t="s">
        <v>668</v>
      </c>
      <c r="AO17" s="197" t="s">
        <v>669</v>
      </c>
      <c r="AP17" s="197" t="s">
        <v>670</v>
      </c>
      <c r="AQ17" s="217" t="s">
        <v>156</v>
      </c>
      <c r="AR17" s="343" t="s">
        <v>759</v>
      </c>
      <c r="AS17" s="337" t="s">
        <v>671</v>
      </c>
      <c r="AT17" s="17" t="s">
        <v>150</v>
      </c>
      <c r="AU17" s="193" t="s">
        <v>216</v>
      </c>
      <c r="AV17" s="17" t="s">
        <v>199</v>
      </c>
      <c r="AW17" s="196" t="s">
        <v>760</v>
      </c>
      <c r="AX17" s="193" t="s">
        <v>216</v>
      </c>
      <c r="AY17" s="196" t="s">
        <v>216</v>
      </c>
      <c r="AZ17" s="196" t="s">
        <v>216</v>
      </c>
      <c r="BA17" s="341" t="s">
        <v>761</v>
      </c>
      <c r="BB17" s="17" t="s">
        <v>674</v>
      </c>
      <c r="BC17" s="17" t="s">
        <v>173</v>
      </c>
      <c r="BD17" s="188" t="s">
        <v>675</v>
      </c>
      <c r="BE17" s="188" t="s">
        <v>165</v>
      </c>
      <c r="BF17" s="17" t="s">
        <v>216</v>
      </c>
      <c r="BG17" s="17" t="s">
        <v>150</v>
      </c>
      <c r="BH17" s="17" t="s">
        <v>676</v>
      </c>
      <c r="BI17" s="17" t="s">
        <v>204</v>
      </c>
      <c r="BJ17" s="17" t="s">
        <v>171</v>
      </c>
      <c r="BK17" s="17">
        <v>2</v>
      </c>
      <c r="BL17" s="191" t="s">
        <v>170</v>
      </c>
      <c r="BM17" s="17" t="s">
        <v>173</v>
      </c>
      <c r="BN17" s="17" t="s">
        <v>173</v>
      </c>
      <c r="BO17" s="17" t="s">
        <v>173</v>
      </c>
      <c r="BP17" s="191" t="s">
        <v>173</v>
      </c>
      <c r="BQ17" s="191" t="s">
        <v>138</v>
      </c>
      <c r="BR17" s="17" t="s">
        <v>138</v>
      </c>
      <c r="BS17" s="193" t="s">
        <v>678</v>
      </c>
      <c r="BT17" s="191" t="s">
        <v>262</v>
      </c>
      <c r="BU17" s="191" t="s">
        <v>679</v>
      </c>
      <c r="BV17" s="191" t="s">
        <v>762</v>
      </c>
      <c r="BW17" s="191" t="s">
        <v>216</v>
      </c>
      <c r="BX17" s="191" t="s">
        <v>216</v>
      </c>
      <c r="BY17" s="191" t="s">
        <v>216</v>
      </c>
      <c r="BZ17" s="302" cm="1">
        <f t="array" ref="BZ17">SUMPRODUCT(($B$4:$BY$4="Must have")*(B17:BY17&lt;&gt;"")*(UPPER(TRIM(B17:BY17))&lt;&gt;"TBD"))</f>
        <v>52</v>
      </c>
      <c r="CA17" s="302" cm="1">
        <f t="array" ref="CA17">SUMPRODUCT(($B$4:$BY$4="Must have")*((B17:BY17="")+(UPPER(TRIM(B17:BY17))="TBD")))</f>
        <v>0</v>
      </c>
      <c r="CB17" s="302" cm="1">
        <f t="array" ref="CB17">SUMPRODUCT(($B$4:$BY$4="Good to have")*(B17:BY17&lt;&gt;"")*(UPPER(TRIM(B17:BY17))&lt;&gt;"TBD"))</f>
        <v>23</v>
      </c>
      <c r="CC17" s="302" cm="1">
        <f t="array" ref="CC17">SUMPRODUCT(($B$4:$BY$4="Good to have")*((B17:BY17="")+(UPPER(TRIM(B17:BY17))="TBD")))</f>
        <v>0</v>
      </c>
      <c r="CD17" s="175" t="str">
        <f t="shared" si="0"/>
        <v>100%</v>
      </c>
    </row>
    <row r="18" spans="1:84" ht="37.5">
      <c r="A18" s="183" t="s">
        <v>265</v>
      </c>
      <c r="B18" s="190">
        <v>1214</v>
      </c>
      <c r="C18" s="191" t="s">
        <v>266</v>
      </c>
      <c r="D18" s="191" t="s">
        <v>267</v>
      </c>
      <c r="E18" s="342" t="s">
        <v>650</v>
      </c>
      <c r="F18" s="191" t="s">
        <v>132</v>
      </c>
      <c r="G18" s="192" t="s">
        <v>651</v>
      </c>
      <c r="H18" s="220" t="s">
        <v>652</v>
      </c>
      <c r="I18" s="193" t="s">
        <v>653</v>
      </c>
      <c r="J18" s="303" t="s">
        <v>654</v>
      </c>
      <c r="K18" s="193" t="s">
        <v>182</v>
      </c>
      <c r="L18" s="17" t="s">
        <v>655</v>
      </c>
      <c r="M18" s="17" t="s">
        <v>438</v>
      </c>
      <c r="N18" s="17" t="s">
        <v>138</v>
      </c>
      <c r="O18" s="17" t="s">
        <v>212</v>
      </c>
      <c r="P18" s="347">
        <v>46332</v>
      </c>
      <c r="Q18" s="191" t="s">
        <v>763</v>
      </c>
      <c r="R18" s="15" t="s">
        <v>750</v>
      </c>
      <c r="S18" s="17" t="s">
        <v>764</v>
      </c>
      <c r="T18" s="17" t="s">
        <v>663</v>
      </c>
      <c r="U18" s="217" t="s">
        <v>259</v>
      </c>
      <c r="V18" s="336" t="s">
        <v>216</v>
      </c>
      <c r="W18" s="271" t="s">
        <v>216</v>
      </c>
      <c r="X18" s="193" t="s">
        <v>765</v>
      </c>
      <c r="Y18" s="17" t="s">
        <v>661</v>
      </c>
      <c r="Z18" s="17" t="s">
        <v>662</v>
      </c>
      <c r="AA18" s="17" t="s">
        <v>150</v>
      </c>
      <c r="AB18" s="191" t="s">
        <v>150</v>
      </c>
      <c r="AC18" s="17" t="s">
        <v>663</v>
      </c>
      <c r="AD18" s="17" t="s">
        <v>191</v>
      </c>
      <c r="AE18" s="191" t="s">
        <v>150</v>
      </c>
      <c r="AF18" s="17" t="s">
        <v>150</v>
      </c>
      <c r="AG18" s="188" t="s">
        <v>150</v>
      </c>
      <c r="AH18" s="197" t="s">
        <v>192</v>
      </c>
      <c r="AI18" s="197">
        <v>0</v>
      </c>
      <c r="AJ18" s="197" t="s">
        <v>173</v>
      </c>
      <c r="AK18" s="197" t="s">
        <v>192</v>
      </c>
      <c r="AL18" s="197">
        <v>0</v>
      </c>
      <c r="AM18" s="197">
        <v>0</v>
      </c>
      <c r="AN18" s="193" t="s">
        <v>668</v>
      </c>
      <c r="AO18" s="197" t="s">
        <v>669</v>
      </c>
      <c r="AP18" s="197" t="s">
        <v>670</v>
      </c>
      <c r="AQ18" s="217" t="s">
        <v>156</v>
      </c>
      <c r="AR18" s="343" t="s">
        <v>766</v>
      </c>
      <c r="AS18" s="337" t="s">
        <v>671</v>
      </c>
      <c r="AT18" s="17" t="s">
        <v>150</v>
      </c>
      <c r="AU18" s="193" t="s">
        <v>216</v>
      </c>
      <c r="AV18" s="17" t="s">
        <v>199</v>
      </c>
      <c r="AW18" s="196" t="s">
        <v>216</v>
      </c>
      <c r="AX18" s="193" t="s">
        <v>216</v>
      </c>
      <c r="AY18" s="196" t="s">
        <v>216</v>
      </c>
      <c r="AZ18" s="196" t="s">
        <v>216</v>
      </c>
      <c r="BA18" s="340" t="s">
        <v>673</v>
      </c>
      <c r="BB18" s="17" t="s">
        <v>674</v>
      </c>
      <c r="BC18" s="17" t="s">
        <v>173</v>
      </c>
      <c r="BD18" s="188" t="s">
        <v>165</v>
      </c>
      <c r="BE18" s="188" t="s">
        <v>165</v>
      </c>
      <c r="BF18" s="17" t="s">
        <v>216</v>
      </c>
      <c r="BG18" s="17" t="s">
        <v>150</v>
      </c>
      <c r="BH18" s="17" t="s">
        <v>676</v>
      </c>
      <c r="BI18" s="17" t="s">
        <v>204</v>
      </c>
      <c r="BJ18" s="17" t="s">
        <v>171</v>
      </c>
      <c r="BK18" s="17">
        <v>2</v>
      </c>
      <c r="BL18" s="191" t="s">
        <v>170</v>
      </c>
      <c r="BM18" s="17" t="s">
        <v>173</v>
      </c>
      <c r="BN18" s="17" t="s">
        <v>173</v>
      </c>
      <c r="BO18" s="17" t="s">
        <v>173</v>
      </c>
      <c r="BP18" s="191" t="s">
        <v>173</v>
      </c>
      <c r="BQ18" s="191" t="s">
        <v>150</v>
      </c>
      <c r="BR18" s="17" t="s">
        <v>150</v>
      </c>
      <c r="BS18" s="193" t="s">
        <v>678</v>
      </c>
      <c r="BT18" s="191" t="s">
        <v>266</v>
      </c>
      <c r="BU18" s="191" t="s">
        <v>679</v>
      </c>
      <c r="BV18" s="191" t="s">
        <v>767</v>
      </c>
      <c r="BW18" s="191" t="s">
        <v>216</v>
      </c>
      <c r="BX18" s="191" t="s">
        <v>216</v>
      </c>
      <c r="BY18" s="191" t="s">
        <v>216</v>
      </c>
      <c r="BZ18" s="302" cm="1">
        <f t="array" ref="BZ18">SUMPRODUCT(($B$4:$BY$4="Must have")*(B18:BY18&lt;&gt;"")*(UPPER(TRIM(B18:BY18))&lt;&gt;"TBD"))</f>
        <v>52</v>
      </c>
      <c r="CA18" s="302" cm="1">
        <f t="array" ref="CA18">SUMPRODUCT(($B$4:$BY$4="Must have")*((B18:BY18="")+(UPPER(TRIM(B18:BY18))="TBD")))</f>
        <v>0</v>
      </c>
      <c r="CB18" s="302" cm="1">
        <f t="array" ref="CB18">SUMPRODUCT(($B$4:$BY$4="Good to have")*(B18:BY18&lt;&gt;"")*(UPPER(TRIM(B18:BY18))&lt;&gt;"TBD"))</f>
        <v>23</v>
      </c>
      <c r="CC18" s="302" cm="1">
        <f t="array" ref="CC18">SUMPRODUCT(($B$4:$BY$4="Good to have")*((B18:BY18="")+(UPPER(TRIM(B18:BY18))="TBD")))</f>
        <v>0</v>
      </c>
      <c r="CD18" s="175" t="str">
        <f t="shared" si="0"/>
        <v>100%</v>
      </c>
    </row>
    <row r="19" spans="1:84" ht="28.5">
      <c r="A19" s="183" t="s">
        <v>268</v>
      </c>
      <c r="B19" s="190">
        <v>1220</v>
      </c>
      <c r="C19" s="191" t="s">
        <v>269</v>
      </c>
      <c r="D19" s="191" t="s">
        <v>270</v>
      </c>
      <c r="E19" s="191"/>
      <c r="F19" s="191" t="s">
        <v>132</v>
      </c>
      <c r="G19" s="192" t="s">
        <v>651</v>
      </c>
      <c r="H19" s="220" t="s">
        <v>652</v>
      </c>
      <c r="I19" s="193" t="s">
        <v>768</v>
      </c>
      <c r="J19" s="303" t="s">
        <v>654</v>
      </c>
      <c r="K19" s="193" t="s">
        <v>182</v>
      </c>
      <c r="L19" s="17" t="s">
        <v>655</v>
      </c>
      <c r="M19" s="17" t="s">
        <v>438</v>
      </c>
      <c r="N19" s="17" t="s">
        <v>138</v>
      </c>
      <c r="O19" s="17" t="s">
        <v>212</v>
      </c>
      <c r="P19" s="347">
        <v>46387</v>
      </c>
      <c r="Q19" s="191"/>
      <c r="R19" s="15" t="s">
        <v>750</v>
      </c>
      <c r="S19" s="188" t="s">
        <v>187</v>
      </c>
      <c r="T19" s="17" t="s">
        <v>188</v>
      </c>
      <c r="U19" s="217" t="s">
        <v>259</v>
      </c>
      <c r="V19" s="336" t="s">
        <v>658</v>
      </c>
      <c r="W19" s="337" t="s">
        <v>659</v>
      </c>
      <c r="X19" s="193" t="s">
        <v>660</v>
      </c>
      <c r="Y19" s="17" t="s">
        <v>661</v>
      </c>
      <c r="Z19" s="17" t="s">
        <v>662</v>
      </c>
      <c r="AA19" s="17" t="s">
        <v>138</v>
      </c>
      <c r="AB19" s="191" t="s">
        <v>138</v>
      </c>
      <c r="AC19" s="17" t="s">
        <v>187</v>
      </c>
      <c r="AD19" s="17" t="s">
        <v>664</v>
      </c>
      <c r="AE19" s="191" t="s">
        <v>138</v>
      </c>
      <c r="AF19" s="17" t="s">
        <v>150</v>
      </c>
      <c r="AG19" s="188" t="s">
        <v>150</v>
      </c>
      <c r="AH19" s="197" t="s">
        <v>215</v>
      </c>
      <c r="AI19" s="197" t="s">
        <v>215</v>
      </c>
      <c r="AJ19" s="197" t="s">
        <v>215</v>
      </c>
      <c r="AK19" s="197" t="s">
        <v>215</v>
      </c>
      <c r="AL19" s="197" t="s">
        <v>215</v>
      </c>
      <c r="AM19" s="197" t="s">
        <v>215</v>
      </c>
      <c r="AN19" s="193" t="s">
        <v>668</v>
      </c>
      <c r="AO19" s="193" t="s">
        <v>769</v>
      </c>
      <c r="AP19" s="197" t="s">
        <v>215</v>
      </c>
      <c r="AQ19" s="17" t="s">
        <v>156</v>
      </c>
      <c r="AR19" s="188" t="s">
        <v>271</v>
      </c>
      <c r="AS19" s="191" t="s">
        <v>215</v>
      </c>
      <c r="AT19" s="17"/>
      <c r="AU19" s="193" t="s">
        <v>272</v>
      </c>
      <c r="AV19" s="17"/>
      <c r="AW19" s="196" t="s">
        <v>215</v>
      </c>
      <c r="AX19" s="193" t="s">
        <v>160</v>
      </c>
      <c r="AY19" s="196" t="s">
        <v>215</v>
      </c>
      <c r="AZ19" s="196" t="s">
        <v>215</v>
      </c>
      <c r="BA19" s="216" t="s">
        <v>752</v>
      </c>
      <c r="BB19" s="17" t="s">
        <v>674</v>
      </c>
      <c r="BC19" s="17" t="s">
        <v>173</v>
      </c>
      <c r="BD19" s="191"/>
      <c r="BE19" s="191"/>
      <c r="BF19" s="17"/>
      <c r="BG19" s="17" t="s">
        <v>150</v>
      </c>
      <c r="BH19" s="17"/>
      <c r="BI19" s="17"/>
      <c r="BJ19" s="17"/>
      <c r="BK19" s="17"/>
      <c r="BL19" s="191" t="s">
        <v>170</v>
      </c>
      <c r="BM19" s="17" t="s">
        <v>173</v>
      </c>
      <c r="BN19" s="17" t="s">
        <v>173</v>
      </c>
      <c r="BO19" s="17" t="s">
        <v>173</v>
      </c>
      <c r="BP19" s="191"/>
      <c r="BQ19" s="191" t="s">
        <v>138</v>
      </c>
      <c r="BR19" s="17" t="s">
        <v>138</v>
      </c>
      <c r="BS19" s="193"/>
      <c r="BT19" s="191" t="s">
        <v>269</v>
      </c>
      <c r="BU19" s="191"/>
      <c r="BV19" s="191" t="s">
        <v>770</v>
      </c>
      <c r="BW19" s="191" t="s">
        <v>216</v>
      </c>
      <c r="BX19" s="191" t="s">
        <v>216</v>
      </c>
      <c r="BY19" s="191" t="s">
        <v>771</v>
      </c>
      <c r="BZ19" s="302" cm="1">
        <f t="array" ref="BZ19">SUMPRODUCT(($B$4:$BY$4="Must have")*(B19:BY19&lt;&gt;"")*(UPPER(TRIM(B19:BY19))&lt;&gt;"TBD"))</f>
        <v>37</v>
      </c>
      <c r="CA19" s="302" cm="1">
        <f t="array" ref="CA19">SUMPRODUCT(($B$4:$BY$4="Must have")*((B19:BY19="")+(UPPER(TRIM(B19:BY19))="TBD")))</f>
        <v>15</v>
      </c>
      <c r="CB19" s="302" cm="1">
        <f t="array" ref="CB19">SUMPRODUCT(($B$4:$BY$4="Good to have")*(B19:BY19&lt;&gt;"")*(UPPER(TRIM(B19:BY19))&lt;&gt;"TBD"))</f>
        <v>13</v>
      </c>
      <c r="CC19" s="302" cm="1">
        <f t="array" ref="CC19">SUMPRODUCT(($B$4:$BY$4="Good to have")*((B19:BY19="")+(UPPER(TRIM(B19:BY19))="TBD")))</f>
        <v>10</v>
      </c>
      <c r="CD19" s="175" t="str">
        <f t="shared" si="0"/>
        <v>66.67%</v>
      </c>
    </row>
    <row r="20" spans="1:84" ht="28.5">
      <c r="A20" s="183" t="s">
        <v>273</v>
      </c>
      <c r="B20" s="190">
        <v>1418</v>
      </c>
      <c r="C20" s="191" t="s">
        <v>274</v>
      </c>
      <c r="D20" s="191" t="s">
        <v>275</v>
      </c>
      <c r="E20" s="191"/>
      <c r="F20" s="191" t="s">
        <v>132</v>
      </c>
      <c r="G20" s="192" t="s">
        <v>651</v>
      </c>
      <c r="H20" s="220" t="s">
        <v>652</v>
      </c>
      <c r="I20" s="193" t="s">
        <v>748</v>
      </c>
      <c r="J20" s="303" t="s">
        <v>654</v>
      </c>
      <c r="K20" s="193" t="s">
        <v>772</v>
      </c>
      <c r="L20" s="17" t="s">
        <v>655</v>
      </c>
      <c r="M20" s="17" t="s">
        <v>217</v>
      </c>
      <c r="N20" s="17" t="s">
        <v>150</v>
      </c>
      <c r="O20" s="17" t="s">
        <v>212</v>
      </c>
      <c r="P20" s="347">
        <v>46332</v>
      </c>
      <c r="Q20" s="17" t="s">
        <v>656</v>
      </c>
      <c r="R20" s="15" t="s">
        <v>773</v>
      </c>
      <c r="S20" s="17" t="s">
        <v>188</v>
      </c>
      <c r="T20" s="17" t="s">
        <v>188</v>
      </c>
      <c r="U20" s="217" t="s">
        <v>259</v>
      </c>
      <c r="V20" s="336" t="s">
        <v>658</v>
      </c>
      <c r="W20" s="337" t="s">
        <v>659</v>
      </c>
      <c r="X20" s="193" t="s">
        <v>660</v>
      </c>
      <c r="Y20" s="17" t="s">
        <v>661</v>
      </c>
      <c r="Z20" s="17" t="s">
        <v>662</v>
      </c>
      <c r="AA20" s="17" t="s">
        <v>150</v>
      </c>
      <c r="AB20" s="191" t="s">
        <v>138</v>
      </c>
      <c r="AC20" s="17" t="s">
        <v>663</v>
      </c>
      <c r="AD20" s="17" t="s">
        <v>664</v>
      </c>
      <c r="AE20" s="191" t="s">
        <v>138</v>
      </c>
      <c r="AF20" s="17" t="s">
        <v>150</v>
      </c>
      <c r="AG20" s="188" t="s">
        <v>150</v>
      </c>
      <c r="AH20" s="197" t="s">
        <v>215</v>
      </c>
      <c r="AI20" s="197" t="s">
        <v>215</v>
      </c>
      <c r="AJ20" s="197" t="s">
        <v>215</v>
      </c>
      <c r="AK20" s="197" t="s">
        <v>215</v>
      </c>
      <c r="AL20" s="197" t="s">
        <v>215</v>
      </c>
      <c r="AM20" s="197" t="s">
        <v>215</v>
      </c>
      <c r="AN20" s="193" t="s">
        <v>668</v>
      </c>
      <c r="AO20" s="193" t="s">
        <v>774</v>
      </c>
      <c r="AP20" s="197" t="s">
        <v>215</v>
      </c>
      <c r="AQ20" s="17" t="s">
        <v>156</v>
      </c>
      <c r="AR20" s="17" t="s">
        <v>277</v>
      </c>
      <c r="AS20" s="191" t="s">
        <v>215</v>
      </c>
      <c r="AT20" s="17"/>
      <c r="AU20" s="193" t="s">
        <v>216</v>
      </c>
      <c r="AV20" s="17"/>
      <c r="AW20" s="196" t="s">
        <v>215</v>
      </c>
      <c r="AX20" s="193" t="s">
        <v>217</v>
      </c>
      <c r="AY20" s="196" t="s">
        <v>215</v>
      </c>
      <c r="AZ20" s="196" t="s">
        <v>215</v>
      </c>
      <c r="BA20" s="216" t="s">
        <v>752</v>
      </c>
      <c r="BB20" s="17" t="s">
        <v>674</v>
      </c>
      <c r="BC20" s="17" t="s">
        <v>173</v>
      </c>
      <c r="BD20" s="191"/>
      <c r="BE20" s="191"/>
      <c r="BF20" s="17"/>
      <c r="BG20" s="17" t="s">
        <v>150</v>
      </c>
      <c r="BH20" s="17"/>
      <c r="BI20" s="17"/>
      <c r="BJ20" s="17"/>
      <c r="BK20" s="17"/>
      <c r="BL20" s="191" t="s">
        <v>170</v>
      </c>
      <c r="BM20" s="17" t="s">
        <v>173</v>
      </c>
      <c r="BN20" s="17" t="s">
        <v>173</v>
      </c>
      <c r="BO20" s="17" t="s">
        <v>173</v>
      </c>
      <c r="BP20" s="191"/>
      <c r="BQ20" s="191" t="s">
        <v>138</v>
      </c>
      <c r="BR20" s="17" t="s">
        <v>138</v>
      </c>
      <c r="BS20" s="193"/>
      <c r="BT20" s="191" t="s">
        <v>274</v>
      </c>
      <c r="BU20" s="191"/>
      <c r="BV20" s="191" t="s">
        <v>775</v>
      </c>
      <c r="BW20" s="191" t="s">
        <v>216</v>
      </c>
      <c r="BX20" s="191" t="s">
        <v>776</v>
      </c>
      <c r="BY20" s="191" t="s">
        <v>776</v>
      </c>
      <c r="BZ20" s="302" cm="1">
        <f t="array" ref="BZ20">SUMPRODUCT(($B$4:$BY$4="Must have")*(B20:BY20&lt;&gt;"")*(UPPER(TRIM(B20:BY20))&lt;&gt;"TBD"))</f>
        <v>37</v>
      </c>
      <c r="CA20" s="302" cm="1">
        <f t="array" ref="CA20">SUMPRODUCT(($B$4:$BY$4="Must have")*((B20:BY20="")+(UPPER(TRIM(B20:BY20))="TBD")))</f>
        <v>15</v>
      </c>
      <c r="CB20" s="302" cm="1">
        <f t="array" ref="CB20">SUMPRODUCT(($B$4:$BY$4="Good to have")*(B20:BY20&lt;&gt;"")*(UPPER(TRIM(B20:BY20))&lt;&gt;"TBD"))</f>
        <v>14</v>
      </c>
      <c r="CC20" s="302" cm="1">
        <f t="array" ref="CC20">SUMPRODUCT(($B$4:$BY$4="Good to have")*((B20:BY20="")+(UPPER(TRIM(B20:BY20))="TBD")))</f>
        <v>9</v>
      </c>
      <c r="CD20" s="175" t="str">
        <f t="shared" si="0"/>
        <v>68%</v>
      </c>
    </row>
    <row r="21" spans="1:84" ht="54" customHeight="1">
      <c r="A21" s="183" t="s">
        <v>278</v>
      </c>
      <c r="B21" s="190">
        <v>1660</v>
      </c>
      <c r="C21" s="191" t="s">
        <v>279</v>
      </c>
      <c r="D21" s="191" t="s">
        <v>280</v>
      </c>
      <c r="E21" s="191" t="s">
        <v>279</v>
      </c>
      <c r="F21" s="191" t="s">
        <v>132</v>
      </c>
      <c r="G21" s="192" t="s">
        <v>681</v>
      </c>
      <c r="H21" s="193" t="s">
        <v>777</v>
      </c>
      <c r="I21" s="193" t="s">
        <v>281</v>
      </c>
      <c r="J21" s="191" t="s">
        <v>654</v>
      </c>
      <c r="K21" s="193" t="s">
        <v>182</v>
      </c>
      <c r="L21" s="17" t="s">
        <v>778</v>
      </c>
      <c r="M21" s="17" t="s">
        <v>221</v>
      </c>
      <c r="N21" s="17" t="s">
        <v>138</v>
      </c>
      <c r="O21" s="17" t="s">
        <v>223</v>
      </c>
      <c r="P21" s="348">
        <v>46173</v>
      </c>
      <c r="Q21" s="17" t="s">
        <v>779</v>
      </c>
      <c r="R21" s="224" t="s">
        <v>780</v>
      </c>
      <c r="S21" s="17" t="s">
        <v>663</v>
      </c>
      <c r="T21" s="17" t="s">
        <v>764</v>
      </c>
      <c r="U21" s="217" t="s">
        <v>189</v>
      </c>
      <c r="V21" s="338" t="s">
        <v>658</v>
      </c>
      <c r="W21" s="194">
        <v>46143</v>
      </c>
      <c r="X21" s="193" t="s">
        <v>781</v>
      </c>
      <c r="Y21" s="17" t="s">
        <v>661</v>
      </c>
      <c r="Z21" s="191" t="s">
        <v>782</v>
      </c>
      <c r="AA21" s="17" t="s">
        <v>150</v>
      </c>
      <c r="AB21" s="191" t="s">
        <v>150</v>
      </c>
      <c r="AC21" s="17" t="s">
        <v>663</v>
      </c>
      <c r="AD21" s="17" t="s">
        <v>191</v>
      </c>
      <c r="AE21" s="195" t="s">
        <v>150</v>
      </c>
      <c r="AF21" s="193" t="s">
        <v>173</v>
      </c>
      <c r="AG21" s="193" t="s">
        <v>173</v>
      </c>
      <c r="AH21" s="220" t="s">
        <v>173</v>
      </c>
      <c r="AI21" s="193" t="s">
        <v>173</v>
      </c>
      <c r="AJ21" s="193" t="s">
        <v>173</v>
      </c>
      <c r="AK21" s="222" t="s">
        <v>173</v>
      </c>
      <c r="AL21" s="193" t="s">
        <v>173</v>
      </c>
      <c r="AM21" s="193" t="s">
        <v>173</v>
      </c>
      <c r="AN21" s="193" t="s">
        <v>216</v>
      </c>
      <c r="AO21" s="193" t="s">
        <v>173</v>
      </c>
      <c r="AP21" s="193" t="s">
        <v>783</v>
      </c>
      <c r="AQ21" s="17" t="s">
        <v>196</v>
      </c>
      <c r="AR21" s="17" t="s">
        <v>282</v>
      </c>
      <c r="AS21" s="191" t="s">
        <v>150</v>
      </c>
      <c r="AT21" s="17" t="s">
        <v>150</v>
      </c>
      <c r="AU21" s="193" t="s">
        <v>283</v>
      </c>
      <c r="AV21" s="17"/>
      <c r="AW21" s="196" t="s">
        <v>150</v>
      </c>
      <c r="AX21" s="197" t="s">
        <v>784</v>
      </c>
      <c r="AY21" s="197" t="s">
        <v>785</v>
      </c>
      <c r="AZ21" s="197" t="s">
        <v>785</v>
      </c>
      <c r="BA21" s="216" t="s">
        <v>752</v>
      </c>
      <c r="BB21" s="17" t="s">
        <v>674</v>
      </c>
      <c r="BC21" s="17" t="s">
        <v>173</v>
      </c>
      <c r="BD21" s="191">
        <v>5</v>
      </c>
      <c r="BE21" s="191" t="s">
        <v>173</v>
      </c>
      <c r="BF21" s="17" t="s">
        <v>786</v>
      </c>
      <c r="BG21" s="17" t="s">
        <v>150</v>
      </c>
      <c r="BH21" s="17" t="s">
        <v>203</v>
      </c>
      <c r="BI21" s="17" t="s">
        <v>204</v>
      </c>
      <c r="BJ21" s="191" t="s">
        <v>787</v>
      </c>
      <c r="BK21" s="17">
        <v>4</v>
      </c>
      <c r="BL21" s="195" t="s">
        <v>170</v>
      </c>
      <c r="BM21" s="223">
        <v>3</v>
      </c>
      <c r="BN21" s="223">
        <v>1</v>
      </c>
      <c r="BO21" s="191" t="s">
        <v>788</v>
      </c>
      <c r="BP21" s="191" t="s">
        <v>173</v>
      </c>
      <c r="BQ21" s="191" t="s">
        <v>173</v>
      </c>
      <c r="BR21" s="191" t="s">
        <v>173</v>
      </c>
      <c r="BS21" s="197" t="s">
        <v>215</v>
      </c>
      <c r="BT21" s="191" t="s">
        <v>279</v>
      </c>
      <c r="BU21" s="191" t="s">
        <v>789</v>
      </c>
      <c r="BV21" s="191" t="s">
        <v>790</v>
      </c>
      <c r="BW21" s="191" t="s">
        <v>791</v>
      </c>
      <c r="BX21" s="191" t="s">
        <v>699</v>
      </c>
      <c r="BY21" s="191" t="s">
        <v>700</v>
      </c>
      <c r="BZ21" s="302" cm="1">
        <f t="array" ref="BZ21">SUMPRODUCT(($B$4:$BY$4="Must have")*(B21:BY21&lt;&gt;"")*(UPPER(TRIM(B21:BY21))&lt;&gt;"TBD"))</f>
        <v>51</v>
      </c>
      <c r="CA21" s="302" cm="1">
        <f t="array" ref="CA21">SUMPRODUCT(($B$4:$BY$4="Must have")*((B21:BY21="")+(UPPER(TRIM(B21:BY21))="TBD")))</f>
        <v>1</v>
      </c>
      <c r="CB21" s="302" cm="1">
        <f t="array" ref="CB21">SUMPRODUCT(($B$4:$BY$4="Good to have")*(B21:BY21&lt;&gt;"")*(UPPER(TRIM(B21:BY21))&lt;&gt;"TBD"))</f>
        <v>22</v>
      </c>
      <c r="CC21" s="302" cm="1">
        <f t="array" ref="CC21">SUMPRODUCT(($B$4:$BY$4="Good to have")*((B21:BY21="")+(UPPER(TRIM(B21:BY21))="TBD")))</f>
        <v>1</v>
      </c>
      <c r="CD21" s="175" t="str">
        <f t="shared" si="0"/>
        <v>97.33%</v>
      </c>
      <c r="CF21" s="174" t="s">
        <v>701</v>
      </c>
    </row>
    <row r="22" spans="1:84" ht="18">
      <c r="A22" s="183" t="s">
        <v>284</v>
      </c>
      <c r="B22" s="190">
        <v>2918</v>
      </c>
      <c r="C22" s="191" t="s">
        <v>291</v>
      </c>
      <c r="D22" s="191" t="s">
        <v>292</v>
      </c>
      <c r="E22" s="191" t="s">
        <v>792</v>
      </c>
      <c r="F22" s="191" t="s">
        <v>132</v>
      </c>
      <c r="G22" s="192" t="s">
        <v>681</v>
      </c>
      <c r="H22" s="193" t="s">
        <v>793</v>
      </c>
      <c r="I22" s="193" t="s">
        <v>281</v>
      </c>
      <c r="J22" s="191" t="s">
        <v>654</v>
      </c>
      <c r="K22" s="193" t="s">
        <v>182</v>
      </c>
      <c r="L22" s="17" t="s">
        <v>183</v>
      </c>
      <c r="M22" s="17" t="s">
        <v>221</v>
      </c>
      <c r="N22" s="17" t="s">
        <v>138</v>
      </c>
      <c r="O22" s="17" t="s">
        <v>223</v>
      </c>
      <c r="P22" s="348">
        <v>46203</v>
      </c>
      <c r="Q22" s="225" t="s">
        <v>794</v>
      </c>
      <c r="R22" s="309" t="s">
        <v>795</v>
      </c>
      <c r="S22" s="226" t="s">
        <v>663</v>
      </c>
      <c r="T22" s="17" t="s">
        <v>663</v>
      </c>
      <c r="U22" s="217" t="s">
        <v>189</v>
      </c>
      <c r="V22" s="215" t="s">
        <v>658</v>
      </c>
      <c r="W22" s="191"/>
      <c r="X22" s="193" t="s">
        <v>796</v>
      </c>
      <c r="Y22" s="17" t="s">
        <v>661</v>
      </c>
      <c r="Z22" s="191" t="s">
        <v>797</v>
      </c>
      <c r="AA22" s="17" t="s">
        <v>150</v>
      </c>
      <c r="AB22" s="191" t="s">
        <v>150</v>
      </c>
      <c r="AC22" s="17" t="s">
        <v>663</v>
      </c>
      <c r="AD22" s="17" t="s">
        <v>664</v>
      </c>
      <c r="AE22" s="191" t="s">
        <v>150</v>
      </c>
      <c r="AF22" s="17" t="s">
        <v>150</v>
      </c>
      <c r="AG22" s="17" t="s">
        <v>150</v>
      </c>
      <c r="AH22" s="232" t="s">
        <v>173</v>
      </c>
      <c r="AI22" s="197" t="s">
        <v>173</v>
      </c>
      <c r="AJ22" s="197" t="s">
        <v>173</v>
      </c>
      <c r="AK22" s="236" t="s">
        <v>798</v>
      </c>
      <c r="AL22" s="197">
        <v>1</v>
      </c>
      <c r="AM22" s="197" t="s">
        <v>799</v>
      </c>
      <c r="AN22" s="193" t="s">
        <v>800</v>
      </c>
      <c r="AO22" s="193" t="s">
        <v>800</v>
      </c>
      <c r="AP22" s="197" t="s">
        <v>173</v>
      </c>
      <c r="AQ22" s="17" t="s">
        <v>196</v>
      </c>
      <c r="AR22" s="17" t="s">
        <v>293</v>
      </c>
      <c r="AS22" s="191" t="s">
        <v>291</v>
      </c>
      <c r="AT22" s="17" t="s">
        <v>150</v>
      </c>
      <c r="AU22" s="193" t="s">
        <v>216</v>
      </c>
      <c r="AV22" s="17" t="s">
        <v>199</v>
      </c>
      <c r="AW22" s="196" t="s">
        <v>150</v>
      </c>
      <c r="AX22" s="193" t="s">
        <v>217</v>
      </c>
      <c r="AY22" s="196" t="s">
        <v>216</v>
      </c>
      <c r="AZ22" s="196" t="s">
        <v>216</v>
      </c>
      <c r="BA22" s="216" t="s">
        <v>752</v>
      </c>
      <c r="BB22" s="17" t="s">
        <v>674</v>
      </c>
      <c r="BC22" s="17" t="s">
        <v>173</v>
      </c>
      <c r="BD22" s="191" t="s">
        <v>173</v>
      </c>
      <c r="BE22" s="191" t="s">
        <v>801</v>
      </c>
      <c r="BF22" s="17" t="s">
        <v>802</v>
      </c>
      <c r="BG22" s="17" t="s">
        <v>150</v>
      </c>
      <c r="BH22" s="17" t="s">
        <v>168</v>
      </c>
      <c r="BI22" s="17" t="s">
        <v>204</v>
      </c>
      <c r="BJ22" s="17" t="s">
        <v>171</v>
      </c>
      <c r="BK22" s="17">
        <v>4</v>
      </c>
      <c r="BL22" s="195" t="s">
        <v>170</v>
      </c>
      <c r="BM22" s="17">
        <v>3</v>
      </c>
      <c r="BN22" s="17">
        <v>2</v>
      </c>
      <c r="BO22" s="17">
        <v>3</v>
      </c>
      <c r="BP22" s="191" t="s">
        <v>173</v>
      </c>
      <c r="BQ22" s="191" t="s">
        <v>173</v>
      </c>
      <c r="BR22" s="17" t="s">
        <v>150</v>
      </c>
      <c r="BS22" s="197" t="s">
        <v>215</v>
      </c>
      <c r="BT22" s="191" t="s">
        <v>291</v>
      </c>
      <c r="BU22" s="191" t="s">
        <v>281</v>
      </c>
      <c r="BV22" s="191" t="s">
        <v>803</v>
      </c>
      <c r="BW22" s="191" t="s">
        <v>216</v>
      </c>
      <c r="BX22" s="191" t="s">
        <v>776</v>
      </c>
      <c r="BY22" s="191" t="s">
        <v>776</v>
      </c>
      <c r="BZ22" s="302" cm="1">
        <f t="array" ref="BZ22">SUMPRODUCT(($B$4:$BY$4="Must have")*(B22:BY22&lt;&gt;"")*(UPPER(TRIM(B22:BY22))&lt;&gt;"TBD"))</f>
        <v>51</v>
      </c>
      <c r="CA22" s="302" cm="1">
        <f t="array" ref="CA22">SUMPRODUCT(($B$4:$BY$4="Must have")*((B22:BY22="")+(UPPER(TRIM(B22:BY22))="TBD")))</f>
        <v>1</v>
      </c>
      <c r="CB22" s="302" cm="1">
        <f t="array" ref="CB22">SUMPRODUCT(($B$4:$BY$4="Good to have")*(B22:BY22&lt;&gt;"")*(UPPER(TRIM(B22:BY22))&lt;&gt;"TBD"))</f>
        <v>22</v>
      </c>
      <c r="CC22" s="302" cm="1">
        <f t="array" ref="CC22">SUMPRODUCT(($B$4:$BY$4="Good to have")*((B22:BY22="")+(UPPER(TRIM(B22:BY22))="TBD")))</f>
        <v>1</v>
      </c>
      <c r="CD22" s="175" t="str">
        <f t="shared" si="0"/>
        <v>97.33%</v>
      </c>
      <c r="CF22" s="174" t="s">
        <v>701</v>
      </c>
    </row>
    <row r="23" spans="1:84" ht="43.9" customHeight="1">
      <c r="A23" s="183" t="s">
        <v>290</v>
      </c>
      <c r="B23" s="190">
        <v>4245</v>
      </c>
      <c r="C23" s="191" t="s">
        <v>295</v>
      </c>
      <c r="D23" s="191" t="s">
        <v>296</v>
      </c>
      <c r="E23" s="191" t="s">
        <v>804</v>
      </c>
      <c r="F23" s="191" t="s">
        <v>132</v>
      </c>
      <c r="G23" s="219" t="s">
        <v>681</v>
      </c>
      <c r="H23" s="193" t="s">
        <v>805</v>
      </c>
      <c r="I23" s="193" t="s">
        <v>229</v>
      </c>
      <c r="J23" s="191" t="s">
        <v>654</v>
      </c>
      <c r="K23" s="193" t="s">
        <v>772</v>
      </c>
      <c r="L23" s="17" t="s">
        <v>710</v>
      </c>
      <c r="M23" s="17" t="s">
        <v>438</v>
      </c>
      <c r="N23" s="216" t="s">
        <v>806</v>
      </c>
      <c r="O23" s="17" t="s">
        <v>223</v>
      </c>
      <c r="P23" s="348">
        <v>46387</v>
      </c>
      <c r="Q23" s="217" t="s">
        <v>711</v>
      </c>
      <c r="R23" s="309" t="s">
        <v>807</v>
      </c>
      <c r="S23" s="226" t="s">
        <v>187</v>
      </c>
      <c r="T23" s="17" t="s">
        <v>663</v>
      </c>
      <c r="U23" s="217" t="s">
        <v>808</v>
      </c>
      <c r="V23" s="227" t="s">
        <v>658</v>
      </c>
      <c r="W23" s="191" t="s">
        <v>216</v>
      </c>
      <c r="X23" s="193" t="s">
        <v>715</v>
      </c>
      <c r="Y23" s="17" t="s">
        <v>661</v>
      </c>
      <c r="Z23" s="17" t="s">
        <v>662</v>
      </c>
      <c r="AA23" s="17" t="s">
        <v>150</v>
      </c>
      <c r="AB23" s="191" t="s">
        <v>138</v>
      </c>
      <c r="AC23" s="17" t="s">
        <v>187</v>
      </c>
      <c r="AD23" s="17" t="s">
        <v>664</v>
      </c>
      <c r="AE23" s="191" t="s">
        <v>138</v>
      </c>
      <c r="AF23" s="17" t="s">
        <v>150</v>
      </c>
      <c r="AG23" s="17" t="s">
        <v>150</v>
      </c>
      <c r="AH23" s="232" t="s">
        <v>809</v>
      </c>
      <c r="AI23" s="197">
        <v>1</v>
      </c>
      <c r="AJ23" s="197" t="s">
        <v>154</v>
      </c>
      <c r="AK23" s="236" t="s">
        <v>809</v>
      </c>
      <c r="AL23" s="197">
        <v>1</v>
      </c>
      <c r="AM23" s="197" t="s">
        <v>154</v>
      </c>
      <c r="AN23" s="193" t="s">
        <v>668</v>
      </c>
      <c r="AO23" s="197" t="s">
        <v>669</v>
      </c>
      <c r="AP23" s="193" t="s">
        <v>810</v>
      </c>
      <c r="AQ23" s="17" t="s">
        <v>156</v>
      </c>
      <c r="AR23" s="17" t="s">
        <v>297</v>
      </c>
      <c r="AS23" s="191" t="s">
        <v>811</v>
      </c>
      <c r="AT23" s="17" t="s">
        <v>150</v>
      </c>
      <c r="AU23" s="193" t="s">
        <v>216</v>
      </c>
      <c r="AV23" s="17" t="s">
        <v>199</v>
      </c>
      <c r="AW23" s="196" t="s">
        <v>216</v>
      </c>
      <c r="AX23" s="193" t="s">
        <v>216</v>
      </c>
      <c r="AY23" s="196" t="s">
        <v>216</v>
      </c>
      <c r="AZ23" s="196" t="s">
        <v>216</v>
      </c>
      <c r="BA23" s="304" t="s">
        <v>694</v>
      </c>
      <c r="BB23" s="17" t="s">
        <v>674</v>
      </c>
      <c r="BC23" s="17" t="s">
        <v>173</v>
      </c>
      <c r="BD23" s="17" t="s">
        <v>166</v>
      </c>
      <c r="BE23" s="17" t="s">
        <v>166</v>
      </c>
      <c r="BF23" s="17" t="s">
        <v>216</v>
      </c>
      <c r="BG23" s="17" t="s">
        <v>150</v>
      </c>
      <c r="BH23" s="17" t="s">
        <v>203</v>
      </c>
      <c r="BI23" s="17" t="s">
        <v>204</v>
      </c>
      <c r="BJ23" s="17" t="s">
        <v>171</v>
      </c>
      <c r="BK23" s="17">
        <v>3</v>
      </c>
      <c r="BL23" s="195" t="s">
        <v>170</v>
      </c>
      <c r="BM23" s="17" t="s">
        <v>173</v>
      </c>
      <c r="BN23" s="17" t="s">
        <v>173</v>
      </c>
      <c r="BO23" s="17" t="s">
        <v>173</v>
      </c>
      <c r="BP23" s="191" t="s">
        <v>810</v>
      </c>
      <c r="BQ23" s="191" t="s">
        <v>138</v>
      </c>
      <c r="BR23" s="17" t="s">
        <v>138</v>
      </c>
      <c r="BS23" s="193" t="s">
        <v>678</v>
      </c>
      <c r="BT23" s="191" t="s">
        <v>295</v>
      </c>
      <c r="BU23" s="191" t="s">
        <v>281</v>
      </c>
      <c r="BV23" s="191" t="s">
        <v>812</v>
      </c>
      <c r="BW23" s="191" t="s">
        <v>216</v>
      </c>
      <c r="BX23" s="191" t="s">
        <v>216</v>
      </c>
      <c r="BY23" s="191" t="s">
        <v>216</v>
      </c>
      <c r="BZ23" s="302" cm="1">
        <f t="array" ref="BZ23">SUMPRODUCT(($B$4:$BY$4="Must have")*(B23:BY23&lt;&gt;"")*(UPPER(TRIM(B23:BY23))&lt;&gt;"TBD"))</f>
        <v>52</v>
      </c>
      <c r="CA23" s="302" cm="1">
        <f t="array" ref="CA23">SUMPRODUCT(($B$4:$BY$4="Must have")*((B23:BY23="")+(UPPER(TRIM(B23:BY23))="TBD")))</f>
        <v>0</v>
      </c>
      <c r="CB23" s="302" cm="1">
        <f t="array" ref="CB23">SUMPRODUCT(($B$4:$BY$4="Good to have")*(B23:BY23&lt;&gt;"")*(UPPER(TRIM(B23:BY23))&lt;&gt;"TBD"))</f>
        <v>23</v>
      </c>
      <c r="CC23" s="302" cm="1">
        <f t="array" ref="CC23">SUMPRODUCT(($B$4:$BY$4="Good to have")*((B23:BY23="")+(UPPER(TRIM(B23:BY23))="TBD")))</f>
        <v>0</v>
      </c>
      <c r="CD23" s="175" t="str">
        <f t="shared" si="0"/>
        <v>100%</v>
      </c>
      <c r="CF23" s="174" t="s">
        <v>701</v>
      </c>
    </row>
    <row r="24" spans="1:84" ht="28.5">
      <c r="A24" s="183" t="s">
        <v>294</v>
      </c>
      <c r="B24" s="190">
        <v>4260</v>
      </c>
      <c r="C24" s="191" t="s">
        <v>299</v>
      </c>
      <c r="D24" s="191" t="s">
        <v>300</v>
      </c>
      <c r="E24" s="191"/>
      <c r="F24" s="191" t="s">
        <v>132</v>
      </c>
      <c r="G24" s="192" t="s">
        <v>651</v>
      </c>
      <c r="H24" s="220" t="s">
        <v>652</v>
      </c>
      <c r="I24" s="193" t="s">
        <v>813</v>
      </c>
      <c r="J24" s="303" t="s">
        <v>654</v>
      </c>
      <c r="K24" s="193" t="s">
        <v>772</v>
      </c>
      <c r="L24" s="17" t="s">
        <v>814</v>
      </c>
      <c r="M24" s="17" t="s">
        <v>221</v>
      </c>
      <c r="N24" s="17" t="s">
        <v>150</v>
      </c>
      <c r="O24" s="17" t="s">
        <v>212</v>
      </c>
      <c r="P24" s="347">
        <v>46332</v>
      </c>
      <c r="Q24" s="17" t="s">
        <v>656</v>
      </c>
      <c r="R24" s="15" t="s">
        <v>773</v>
      </c>
      <c r="S24" s="17" t="s">
        <v>188</v>
      </c>
      <c r="T24" s="17" t="s">
        <v>188</v>
      </c>
      <c r="U24" s="217" t="s">
        <v>143</v>
      </c>
      <c r="V24" s="336" t="s">
        <v>658</v>
      </c>
      <c r="W24" s="337" t="s">
        <v>659</v>
      </c>
      <c r="X24" s="193" t="s">
        <v>660</v>
      </c>
      <c r="Y24" s="17" t="s">
        <v>661</v>
      </c>
      <c r="Z24" s="17" t="s">
        <v>662</v>
      </c>
      <c r="AA24" s="17" t="s">
        <v>150</v>
      </c>
      <c r="AB24" s="191" t="s">
        <v>138</v>
      </c>
      <c r="AC24" s="17" t="s">
        <v>663</v>
      </c>
      <c r="AD24" s="17" t="s">
        <v>664</v>
      </c>
      <c r="AE24" s="191" t="s">
        <v>138</v>
      </c>
      <c r="AF24" s="17" t="s">
        <v>150</v>
      </c>
      <c r="AG24" s="188" t="s">
        <v>150</v>
      </c>
      <c r="AH24" s="197" t="s">
        <v>215</v>
      </c>
      <c r="AI24" s="234" t="s">
        <v>215</v>
      </c>
      <c r="AJ24" s="234" t="s">
        <v>215</v>
      </c>
      <c r="AK24" s="197" t="s">
        <v>215</v>
      </c>
      <c r="AL24" s="197" t="s">
        <v>215</v>
      </c>
      <c r="AM24" s="197" t="s">
        <v>215</v>
      </c>
      <c r="AN24" s="193" t="s">
        <v>668</v>
      </c>
      <c r="AO24" s="197" t="s">
        <v>215</v>
      </c>
      <c r="AP24" s="197" t="s">
        <v>215</v>
      </c>
      <c r="AQ24" s="17" t="s">
        <v>156</v>
      </c>
      <c r="AR24" s="17" t="s">
        <v>301</v>
      </c>
      <c r="AS24" s="191" t="s">
        <v>215</v>
      </c>
      <c r="AT24" s="17"/>
      <c r="AU24" s="193" t="s">
        <v>216</v>
      </c>
      <c r="AV24" s="17"/>
      <c r="AW24" s="196" t="s">
        <v>215</v>
      </c>
      <c r="AX24" s="193" t="s">
        <v>216</v>
      </c>
      <c r="AY24" s="196" t="s">
        <v>215</v>
      </c>
      <c r="AZ24" s="196" t="s">
        <v>215</v>
      </c>
      <c r="BA24" s="216" t="s">
        <v>752</v>
      </c>
      <c r="BB24" s="17" t="s">
        <v>674</v>
      </c>
      <c r="BC24" s="17" t="s">
        <v>173</v>
      </c>
      <c r="BD24" s="191"/>
      <c r="BE24" s="191"/>
      <c r="BF24" s="17"/>
      <c r="BG24" s="17" t="s">
        <v>150</v>
      </c>
      <c r="BH24" s="17"/>
      <c r="BI24" s="17"/>
      <c r="BJ24" s="17"/>
      <c r="BK24" s="17"/>
      <c r="BL24" s="195" t="s">
        <v>170</v>
      </c>
      <c r="BM24" s="17" t="s">
        <v>173</v>
      </c>
      <c r="BN24" s="17" t="s">
        <v>173</v>
      </c>
      <c r="BO24" s="17" t="s">
        <v>173</v>
      </c>
      <c r="BP24" s="187"/>
      <c r="BQ24" s="191" t="s">
        <v>138</v>
      </c>
      <c r="BR24" s="17" t="s">
        <v>138</v>
      </c>
      <c r="BS24" s="193"/>
      <c r="BT24" s="191" t="s">
        <v>299</v>
      </c>
      <c r="BU24" s="191"/>
      <c r="BV24" s="191" t="s">
        <v>815</v>
      </c>
      <c r="BW24" s="191" t="s">
        <v>216</v>
      </c>
      <c r="BX24" s="191" t="s">
        <v>776</v>
      </c>
      <c r="BY24" s="191" t="s">
        <v>776</v>
      </c>
      <c r="BZ24" s="302" cm="1">
        <f t="array" ref="BZ24">SUMPRODUCT(($B$4:$BY$4="Must have")*(B24:BY24&lt;&gt;"")*(UPPER(TRIM(B24:BY24))&lt;&gt;"TBD"))</f>
        <v>37</v>
      </c>
      <c r="CA24" s="302" cm="1">
        <f t="array" ref="CA24">SUMPRODUCT(($B$4:$BY$4="Must have")*((B24:BY24="")+(UPPER(TRIM(B24:BY24))="TBD")))</f>
        <v>15</v>
      </c>
      <c r="CB24" s="302" cm="1">
        <f t="array" ref="CB24">SUMPRODUCT(($B$4:$BY$4="Good to have")*(B24:BY24&lt;&gt;"")*(UPPER(TRIM(B24:BY24))&lt;&gt;"TBD"))</f>
        <v>13</v>
      </c>
      <c r="CC24" s="302" cm="1">
        <f t="array" ref="CC24">SUMPRODUCT(($B$4:$BY$4="Good to have")*((B24:BY24="")+(UPPER(TRIM(B24:BY24))="TBD")))</f>
        <v>10</v>
      </c>
      <c r="CD24" s="175" t="str">
        <f t="shared" si="0"/>
        <v>66.67%</v>
      </c>
    </row>
    <row r="25" spans="1:84" ht="28.5">
      <c r="A25" s="183" t="s">
        <v>298</v>
      </c>
      <c r="B25" s="190">
        <v>4261</v>
      </c>
      <c r="C25" s="191" t="s">
        <v>303</v>
      </c>
      <c r="D25" s="191" t="s">
        <v>304</v>
      </c>
      <c r="E25" s="191"/>
      <c r="F25" s="191" t="s">
        <v>132</v>
      </c>
      <c r="G25" s="192" t="s">
        <v>651</v>
      </c>
      <c r="H25" s="220" t="s">
        <v>652</v>
      </c>
      <c r="I25" s="193" t="s">
        <v>813</v>
      </c>
      <c r="J25" s="303" t="s">
        <v>654</v>
      </c>
      <c r="K25" s="193" t="s">
        <v>772</v>
      </c>
      <c r="L25" s="17" t="s">
        <v>814</v>
      </c>
      <c r="M25" s="17" t="s">
        <v>816</v>
      </c>
      <c r="N25" s="17" t="s">
        <v>150</v>
      </c>
      <c r="O25" s="17" t="s">
        <v>212</v>
      </c>
      <c r="P25" s="347">
        <v>46332</v>
      </c>
      <c r="Q25" s="17" t="s">
        <v>656</v>
      </c>
      <c r="R25" s="15" t="s">
        <v>773</v>
      </c>
      <c r="S25" s="17" t="s">
        <v>188</v>
      </c>
      <c r="T25" s="17" t="s">
        <v>187</v>
      </c>
      <c r="U25" s="217" t="s">
        <v>143</v>
      </c>
      <c r="V25" s="336" t="s">
        <v>658</v>
      </c>
      <c r="W25" s="337" t="s">
        <v>659</v>
      </c>
      <c r="X25" s="193" t="s">
        <v>660</v>
      </c>
      <c r="Y25" s="17" t="s">
        <v>661</v>
      </c>
      <c r="Z25" s="17" t="s">
        <v>662</v>
      </c>
      <c r="AA25" s="17" t="s">
        <v>150</v>
      </c>
      <c r="AB25" s="191" t="s">
        <v>150</v>
      </c>
      <c r="AC25" s="17" t="s">
        <v>663</v>
      </c>
      <c r="AD25" s="17" t="s">
        <v>664</v>
      </c>
      <c r="AE25" s="191" t="s">
        <v>138</v>
      </c>
      <c r="AF25" s="17" t="s">
        <v>150</v>
      </c>
      <c r="AG25" s="188" t="s">
        <v>150</v>
      </c>
      <c r="AH25" s="197" t="s">
        <v>215</v>
      </c>
      <c r="AI25" s="197" t="s">
        <v>215</v>
      </c>
      <c r="AJ25" s="197" t="s">
        <v>215</v>
      </c>
      <c r="AK25" s="197" t="s">
        <v>215</v>
      </c>
      <c r="AL25" s="197" t="s">
        <v>215</v>
      </c>
      <c r="AM25" s="197" t="s">
        <v>215</v>
      </c>
      <c r="AN25" s="193" t="s">
        <v>668</v>
      </c>
      <c r="AO25" s="197" t="s">
        <v>215</v>
      </c>
      <c r="AP25" s="197" t="s">
        <v>215</v>
      </c>
      <c r="AQ25" s="17" t="s">
        <v>196</v>
      </c>
      <c r="AR25" s="17">
        <v>0</v>
      </c>
      <c r="AS25" s="191" t="s">
        <v>215</v>
      </c>
      <c r="AT25" s="17"/>
      <c r="AU25" s="193" t="s">
        <v>216</v>
      </c>
      <c r="AV25" s="17"/>
      <c r="AW25" s="196" t="s">
        <v>215</v>
      </c>
      <c r="AX25" s="193" t="s">
        <v>217</v>
      </c>
      <c r="AY25" s="196" t="s">
        <v>215</v>
      </c>
      <c r="AZ25" s="196" t="s">
        <v>215</v>
      </c>
      <c r="BA25" s="216" t="s">
        <v>752</v>
      </c>
      <c r="BB25" s="17" t="s">
        <v>674</v>
      </c>
      <c r="BC25" s="17" t="s">
        <v>173</v>
      </c>
      <c r="BD25" s="191"/>
      <c r="BE25" s="191"/>
      <c r="BF25" s="17"/>
      <c r="BG25" s="17" t="s">
        <v>150</v>
      </c>
      <c r="BH25" s="17"/>
      <c r="BI25" s="17"/>
      <c r="BJ25" s="17"/>
      <c r="BK25" s="17"/>
      <c r="BL25" s="195" t="s">
        <v>170</v>
      </c>
      <c r="BM25" s="17" t="s">
        <v>173</v>
      </c>
      <c r="BN25" s="17" t="s">
        <v>173</v>
      </c>
      <c r="BO25" s="17" t="s">
        <v>173</v>
      </c>
      <c r="BP25" s="191"/>
      <c r="BQ25" s="191" t="s">
        <v>138</v>
      </c>
      <c r="BR25" s="17" t="s">
        <v>138</v>
      </c>
      <c r="BS25" s="193"/>
      <c r="BT25" s="191" t="s">
        <v>303</v>
      </c>
      <c r="BU25" s="191"/>
      <c r="BV25" s="191" t="s">
        <v>817</v>
      </c>
      <c r="BW25" s="191" t="s">
        <v>216</v>
      </c>
      <c r="BX25" s="191" t="s">
        <v>216</v>
      </c>
      <c r="BY25" s="191" t="s">
        <v>216</v>
      </c>
      <c r="BZ25" s="302" cm="1">
        <f t="array" ref="BZ25">SUMPRODUCT(($B$4:$BY$4="Must have")*(B25:BY25&lt;&gt;"")*(UPPER(TRIM(B25:BY25))&lt;&gt;"TBD"))</f>
        <v>37</v>
      </c>
      <c r="CA25" s="302" cm="1">
        <f t="array" ref="CA25">SUMPRODUCT(($B$4:$BY$4="Must have")*((B25:BY25="")+(UPPER(TRIM(B25:BY25))="TBD")))</f>
        <v>15</v>
      </c>
      <c r="CB25" s="302" cm="1">
        <f t="array" ref="CB25">SUMPRODUCT(($B$4:$BY$4="Good to have")*(B25:BY25&lt;&gt;"")*(UPPER(TRIM(B25:BY25))&lt;&gt;"TBD"))</f>
        <v>13</v>
      </c>
      <c r="CC25" s="302" cm="1">
        <f t="array" ref="CC25">SUMPRODUCT(($B$4:$BY$4="Good to have")*((B25:BY25="")+(UPPER(TRIM(B25:BY25))="TBD")))</f>
        <v>10</v>
      </c>
      <c r="CD25" s="175" t="str">
        <f t="shared" si="0"/>
        <v>66.67%</v>
      </c>
    </row>
    <row r="26" spans="1:84" ht="18">
      <c r="A26" s="183" t="s">
        <v>302</v>
      </c>
      <c r="B26" s="190">
        <v>5281</v>
      </c>
      <c r="C26" s="335" t="s">
        <v>306</v>
      </c>
      <c r="D26" s="191" t="s">
        <v>307</v>
      </c>
      <c r="E26" s="191" t="s">
        <v>818</v>
      </c>
      <c r="F26" s="191" t="s">
        <v>179</v>
      </c>
      <c r="G26" s="192" t="s">
        <v>681</v>
      </c>
      <c r="H26" s="193" t="s">
        <v>819</v>
      </c>
      <c r="I26" s="310" t="s">
        <v>820</v>
      </c>
      <c r="J26" s="191" t="s">
        <v>654</v>
      </c>
      <c r="K26" s="193" t="s">
        <v>182</v>
      </c>
      <c r="L26" s="17" t="s">
        <v>655</v>
      </c>
      <c r="M26" s="17" t="s">
        <v>9</v>
      </c>
      <c r="N26" s="17" t="s">
        <v>138</v>
      </c>
      <c r="O26" s="17" t="s">
        <v>223</v>
      </c>
      <c r="P26" s="348">
        <v>46507</v>
      </c>
      <c r="Q26" s="311" t="s">
        <v>821</v>
      </c>
      <c r="R26" s="312" t="s">
        <v>327</v>
      </c>
      <c r="S26" s="312" t="s">
        <v>188</v>
      </c>
      <c r="T26" s="313">
        <v>1</v>
      </c>
      <c r="U26" s="312" t="s">
        <v>822</v>
      </c>
      <c r="V26" s="339" t="s">
        <v>810</v>
      </c>
      <c r="W26" s="314" t="s">
        <v>173</v>
      </c>
      <c r="X26" s="315" t="s">
        <v>715</v>
      </c>
      <c r="Y26" s="312" t="s">
        <v>661</v>
      </c>
      <c r="Z26" s="312" t="s">
        <v>823</v>
      </c>
      <c r="AA26" s="312" t="s">
        <v>150</v>
      </c>
      <c r="AB26" s="314" t="s">
        <v>150</v>
      </c>
      <c r="AC26" s="312" t="s">
        <v>187</v>
      </c>
      <c r="AD26" s="312" t="s">
        <v>664</v>
      </c>
      <c r="AE26" s="314" t="s">
        <v>138</v>
      </c>
      <c r="AF26" s="312" t="s">
        <v>138</v>
      </c>
      <c r="AG26" s="312" t="s">
        <v>150</v>
      </c>
      <c r="AH26" s="315" t="s">
        <v>824</v>
      </c>
      <c r="AI26" s="282" t="s">
        <v>825</v>
      </c>
      <c r="AJ26" s="315" t="s">
        <v>826</v>
      </c>
      <c r="AK26" s="315" t="s">
        <v>827</v>
      </c>
      <c r="AL26" s="315" t="s">
        <v>828</v>
      </c>
      <c r="AM26" s="315" t="s">
        <v>829</v>
      </c>
      <c r="AN26" s="315" t="s">
        <v>830</v>
      </c>
      <c r="AO26" s="315" t="s">
        <v>831</v>
      </c>
      <c r="AP26" s="315" t="s">
        <v>832</v>
      </c>
      <c r="AQ26" s="312" t="s">
        <v>156</v>
      </c>
      <c r="AR26" s="312" t="s">
        <v>833</v>
      </c>
      <c r="AS26" s="314" t="s">
        <v>311</v>
      </c>
      <c r="AT26" s="312" t="s">
        <v>138</v>
      </c>
      <c r="AU26" s="315" t="s">
        <v>312</v>
      </c>
      <c r="AV26" s="312" t="s">
        <v>199</v>
      </c>
      <c r="AW26" s="312" t="s">
        <v>215</v>
      </c>
      <c r="AX26" s="315" t="s">
        <v>160</v>
      </c>
      <c r="AY26" s="312" t="s">
        <v>834</v>
      </c>
      <c r="AZ26" s="312" t="s">
        <v>834</v>
      </c>
      <c r="BA26" s="312" t="s">
        <v>835</v>
      </c>
      <c r="BB26" s="312" t="s">
        <v>674</v>
      </c>
      <c r="BC26" s="312" t="s">
        <v>836</v>
      </c>
      <c r="BD26" s="314">
        <v>5</v>
      </c>
      <c r="BE26" s="314">
        <v>0</v>
      </c>
      <c r="BF26" s="312" t="s">
        <v>837</v>
      </c>
      <c r="BG26" s="312" t="s">
        <v>150</v>
      </c>
      <c r="BH26" s="312" t="s">
        <v>203</v>
      </c>
      <c r="BI26" s="312" t="s">
        <v>838</v>
      </c>
      <c r="BJ26" s="312" t="s">
        <v>170</v>
      </c>
      <c r="BK26" s="312">
        <v>2</v>
      </c>
      <c r="BL26" s="314" t="s">
        <v>170</v>
      </c>
      <c r="BM26" s="332" t="s">
        <v>173</v>
      </c>
      <c r="BN26" s="312" t="s">
        <v>173</v>
      </c>
      <c r="BO26" s="314">
        <v>20</v>
      </c>
      <c r="BP26" s="314" t="s">
        <v>173</v>
      </c>
      <c r="BQ26" s="314" t="s">
        <v>173</v>
      </c>
      <c r="BR26" s="314" t="s">
        <v>173</v>
      </c>
      <c r="BS26" s="315" t="s">
        <v>649</v>
      </c>
      <c r="BT26" s="314" t="s">
        <v>839</v>
      </c>
      <c r="BU26" s="314" t="s">
        <v>840</v>
      </c>
      <c r="BV26" s="314" t="s">
        <v>841</v>
      </c>
      <c r="BW26" s="314" t="s">
        <v>842</v>
      </c>
      <c r="BX26" s="314" t="s">
        <v>843</v>
      </c>
      <c r="BY26" s="314" t="s">
        <v>844</v>
      </c>
      <c r="BZ26" s="302" cm="1">
        <f t="array" ref="BZ26">SUMPRODUCT(($B$4:$BY$4="Must have")*(B26:BY26&lt;&gt;"")*(UPPER(TRIM(B26:BY26))&lt;&gt;"TBD"))</f>
        <v>51</v>
      </c>
      <c r="CA26" s="302" cm="1">
        <f t="array" ref="CA26">SUMPRODUCT(($B$4:$BY$4="Must have")*((B26:BY26="")+(UPPER(TRIM(B26:BY26))="TBD")))</f>
        <v>1</v>
      </c>
      <c r="CB26" s="302" cm="1">
        <f t="array" ref="CB26">SUMPRODUCT(($B$4:$BY$4="Good to have")*(B26:BY26&lt;&gt;"")*(UPPER(TRIM(B26:BY26))&lt;&gt;"TBD"))</f>
        <v>23</v>
      </c>
      <c r="CC26" s="302" cm="1">
        <f t="array" ref="CC26">SUMPRODUCT(($B$4:$BY$4="Good to have")*((B26:BY26="")+(UPPER(TRIM(B26:BY26))="TBD")))</f>
        <v>0</v>
      </c>
      <c r="CD26" s="175" t="str">
        <f t="shared" si="0"/>
        <v>98.67%</v>
      </c>
      <c r="CF26" s="174" t="s">
        <v>845</v>
      </c>
    </row>
    <row r="27" spans="1:84" ht="18">
      <c r="A27" s="183" t="s">
        <v>305</v>
      </c>
      <c r="B27" s="190">
        <v>5282</v>
      </c>
      <c r="C27" s="191" t="s">
        <v>314</v>
      </c>
      <c r="D27" s="191" t="s">
        <v>846</v>
      </c>
      <c r="E27" s="191" t="s">
        <v>818</v>
      </c>
      <c r="F27" s="191" t="s">
        <v>179</v>
      </c>
      <c r="G27" s="192" t="s">
        <v>681</v>
      </c>
      <c r="H27" s="193" t="s">
        <v>847</v>
      </c>
      <c r="I27" s="310" t="s">
        <v>820</v>
      </c>
      <c r="J27" s="191" t="s">
        <v>654</v>
      </c>
      <c r="K27" s="193" t="s">
        <v>182</v>
      </c>
      <c r="L27" s="17" t="s">
        <v>655</v>
      </c>
      <c r="M27" s="17" t="s">
        <v>9</v>
      </c>
      <c r="N27" s="17" t="s">
        <v>138</v>
      </c>
      <c r="O27" s="17" t="s">
        <v>223</v>
      </c>
      <c r="P27" s="348">
        <v>46507</v>
      </c>
      <c r="Q27" s="191" t="s">
        <v>848</v>
      </c>
      <c r="R27" s="17" t="s">
        <v>327</v>
      </c>
      <c r="S27" s="17" t="s">
        <v>188</v>
      </c>
      <c r="T27" s="17">
        <v>1</v>
      </c>
      <c r="U27" s="17" t="s">
        <v>216</v>
      </c>
      <c r="V27" s="191" t="s">
        <v>849</v>
      </c>
      <c r="W27" s="191" t="s">
        <v>850</v>
      </c>
      <c r="X27" s="193" t="s">
        <v>715</v>
      </c>
      <c r="Y27" s="17" t="s">
        <v>661</v>
      </c>
      <c r="Z27" s="17" t="s">
        <v>823</v>
      </c>
      <c r="AA27" s="17" t="s">
        <v>150</v>
      </c>
      <c r="AB27" s="191" t="s">
        <v>150</v>
      </c>
      <c r="AC27" s="17" t="s">
        <v>187</v>
      </c>
      <c r="AD27" s="17" t="s">
        <v>664</v>
      </c>
      <c r="AE27" s="191" t="s">
        <v>138</v>
      </c>
      <c r="AF27" s="17" t="s">
        <v>150</v>
      </c>
      <c r="AG27" s="17" t="s">
        <v>150</v>
      </c>
      <c r="AH27" s="193" t="s">
        <v>851</v>
      </c>
      <c r="AI27" s="193">
        <v>1</v>
      </c>
      <c r="AJ27" s="193" t="s">
        <v>852</v>
      </c>
      <c r="AK27" s="193" t="s">
        <v>173</v>
      </c>
      <c r="AL27" s="193">
        <v>0</v>
      </c>
      <c r="AM27" s="193" t="s">
        <v>173</v>
      </c>
      <c r="AN27" s="193" t="s">
        <v>830</v>
      </c>
      <c r="AO27" s="193" t="s">
        <v>853</v>
      </c>
      <c r="AP27" s="193" t="s">
        <v>854</v>
      </c>
      <c r="AQ27" s="17" t="s">
        <v>156</v>
      </c>
      <c r="AR27" s="17" t="s">
        <v>216</v>
      </c>
      <c r="AS27" s="191" t="s">
        <v>316</v>
      </c>
      <c r="AT27" s="17" t="s">
        <v>138</v>
      </c>
      <c r="AU27" s="193" t="s">
        <v>312</v>
      </c>
      <c r="AV27" s="17" t="s">
        <v>199</v>
      </c>
      <c r="AW27" s="17" t="s">
        <v>215</v>
      </c>
      <c r="AX27" s="193" t="s">
        <v>216</v>
      </c>
      <c r="AY27" s="17" t="s">
        <v>215</v>
      </c>
      <c r="AZ27" s="17" t="s">
        <v>855</v>
      </c>
      <c r="BA27" s="17" t="s">
        <v>856</v>
      </c>
      <c r="BB27" s="17" t="s">
        <v>674</v>
      </c>
      <c r="BC27" s="17" t="s">
        <v>836</v>
      </c>
      <c r="BD27" s="191">
        <v>5</v>
      </c>
      <c r="BE27" s="191">
        <v>0</v>
      </c>
      <c r="BF27" s="17" t="s">
        <v>837</v>
      </c>
      <c r="BG27" s="17" t="s">
        <v>150</v>
      </c>
      <c r="BH27" s="17" t="s">
        <v>203</v>
      </c>
      <c r="BI27" s="17" t="s">
        <v>838</v>
      </c>
      <c r="BJ27" s="17" t="s">
        <v>170</v>
      </c>
      <c r="BK27" s="17">
        <v>2</v>
      </c>
      <c r="BL27" s="191" t="s">
        <v>170</v>
      </c>
      <c r="BM27" s="332" t="s">
        <v>173</v>
      </c>
      <c r="BN27" s="17" t="s">
        <v>173</v>
      </c>
      <c r="BO27" s="191">
        <v>20</v>
      </c>
      <c r="BP27" s="191" t="s">
        <v>173</v>
      </c>
      <c r="BQ27" s="191" t="s">
        <v>173</v>
      </c>
      <c r="BR27" s="191" t="s">
        <v>173</v>
      </c>
      <c r="BS27" s="193"/>
      <c r="BT27" s="191" t="s">
        <v>839</v>
      </c>
      <c r="BU27" s="191" t="s">
        <v>840</v>
      </c>
      <c r="BV27" s="191" t="s">
        <v>841</v>
      </c>
      <c r="BW27" s="191" t="s">
        <v>216</v>
      </c>
      <c r="BX27" s="191" t="s">
        <v>216</v>
      </c>
      <c r="BY27" s="191" t="s">
        <v>216</v>
      </c>
      <c r="BZ27" s="302" cm="1">
        <f t="array" ref="BZ27">SUMPRODUCT(($B$4:$BY$4="Must have")*(B27:BY27&lt;&gt;"")*(UPPER(TRIM(B27:BY27))&lt;&gt;"TBD"))</f>
        <v>49</v>
      </c>
      <c r="CA27" s="302" cm="1">
        <f t="array" ref="CA27">SUMPRODUCT(($B$4:$BY$4="Must have")*((B27:BY27="")+(UPPER(TRIM(B27:BY27))="TBD")))</f>
        <v>3</v>
      </c>
      <c r="CB27" s="302" cm="1">
        <f t="array" ref="CB27">SUMPRODUCT(($B$4:$BY$4="Good to have")*(B27:BY27&lt;&gt;"")*(UPPER(TRIM(B27:BY27))&lt;&gt;"TBD"))</f>
        <v>22</v>
      </c>
      <c r="CC27" s="302" cm="1">
        <f t="array" ref="CC27">SUMPRODUCT(($B$4:$BY$4="Good to have")*((B27:BY27="")+(UPPER(TRIM(B27:BY27))="TBD")))</f>
        <v>1</v>
      </c>
      <c r="CD27" s="175" t="str">
        <f t="shared" si="0"/>
        <v>94.67%</v>
      </c>
      <c r="CF27" s="174" t="s">
        <v>845</v>
      </c>
    </row>
    <row r="28" spans="1:84" ht="18">
      <c r="A28" s="183" t="s">
        <v>313</v>
      </c>
      <c r="B28" s="190">
        <v>5283</v>
      </c>
      <c r="C28" s="191" t="s">
        <v>318</v>
      </c>
      <c r="D28" s="191" t="s">
        <v>857</v>
      </c>
      <c r="E28" s="191" t="s">
        <v>818</v>
      </c>
      <c r="F28" s="191" t="s">
        <v>179</v>
      </c>
      <c r="G28" s="192" t="s">
        <v>681</v>
      </c>
      <c r="H28" s="193" t="s">
        <v>858</v>
      </c>
      <c r="I28" s="310" t="s">
        <v>859</v>
      </c>
      <c r="J28" s="191" t="s">
        <v>654</v>
      </c>
      <c r="K28" s="193" t="s">
        <v>182</v>
      </c>
      <c r="L28" s="17" t="s">
        <v>655</v>
      </c>
      <c r="M28" s="17" t="s">
        <v>320</v>
      </c>
      <c r="N28" s="17" t="s">
        <v>138</v>
      </c>
      <c r="O28" s="17" t="s">
        <v>223</v>
      </c>
      <c r="P28" s="348">
        <v>46507</v>
      </c>
      <c r="Q28" s="191" t="s">
        <v>848</v>
      </c>
      <c r="R28" s="17" t="s">
        <v>327</v>
      </c>
      <c r="S28" s="17" t="s">
        <v>188</v>
      </c>
      <c r="T28" s="17">
        <v>1</v>
      </c>
      <c r="U28" s="17" t="s">
        <v>808</v>
      </c>
      <c r="V28" s="200" t="s">
        <v>860</v>
      </c>
      <c r="W28" s="191" t="s">
        <v>850</v>
      </c>
      <c r="X28" s="193" t="s">
        <v>715</v>
      </c>
      <c r="Y28" s="17" t="s">
        <v>661</v>
      </c>
      <c r="Z28" s="17" t="s">
        <v>823</v>
      </c>
      <c r="AA28" s="17" t="s">
        <v>150</v>
      </c>
      <c r="AB28" s="191" t="s">
        <v>150</v>
      </c>
      <c r="AC28" s="17" t="s">
        <v>188</v>
      </c>
      <c r="AD28" s="17" t="s">
        <v>664</v>
      </c>
      <c r="AE28" s="191" t="s">
        <v>138</v>
      </c>
      <c r="AF28" s="17" t="s">
        <v>150</v>
      </c>
      <c r="AG28" s="17" t="s">
        <v>150</v>
      </c>
      <c r="AH28" s="193" t="s">
        <v>861</v>
      </c>
      <c r="AI28" s="193">
        <v>3</v>
      </c>
      <c r="AJ28" s="193" t="s">
        <v>862</v>
      </c>
      <c r="AK28" s="193" t="s">
        <v>173</v>
      </c>
      <c r="AL28" s="193" t="s">
        <v>173</v>
      </c>
      <c r="AM28" s="193" t="s">
        <v>173</v>
      </c>
      <c r="AN28" s="193" t="s">
        <v>863</v>
      </c>
      <c r="AO28" s="193" t="s">
        <v>864</v>
      </c>
      <c r="AP28" s="193" t="s">
        <v>865</v>
      </c>
      <c r="AQ28" s="17" t="s">
        <v>156</v>
      </c>
      <c r="AR28" s="17" t="s">
        <v>321</v>
      </c>
      <c r="AS28" s="191" t="s">
        <v>322</v>
      </c>
      <c r="AT28" s="17" t="s">
        <v>150</v>
      </c>
      <c r="AU28" s="193" t="s">
        <v>323</v>
      </c>
      <c r="AV28" s="17"/>
      <c r="AW28" s="17" t="s">
        <v>150</v>
      </c>
      <c r="AX28" s="193" t="s">
        <v>160</v>
      </c>
      <c r="AY28" s="17" t="s">
        <v>173</v>
      </c>
      <c r="AZ28" s="17" t="s">
        <v>173</v>
      </c>
      <c r="BA28" s="17" t="s">
        <v>856</v>
      </c>
      <c r="BB28" s="17" t="s">
        <v>674</v>
      </c>
      <c r="BC28" s="17" t="s">
        <v>836</v>
      </c>
      <c r="BD28" s="191">
        <v>5</v>
      </c>
      <c r="BE28" s="191">
        <v>0</v>
      </c>
      <c r="BF28" s="17" t="s">
        <v>837</v>
      </c>
      <c r="BG28" s="17" t="s">
        <v>150</v>
      </c>
      <c r="BH28" s="17" t="s">
        <v>203</v>
      </c>
      <c r="BI28" s="17" t="s">
        <v>838</v>
      </c>
      <c r="BJ28" s="17" t="s">
        <v>170</v>
      </c>
      <c r="BK28" s="17">
        <v>2</v>
      </c>
      <c r="BL28" s="191" t="s">
        <v>170</v>
      </c>
      <c r="BM28" s="332" t="s">
        <v>173</v>
      </c>
      <c r="BN28" s="17" t="s">
        <v>173</v>
      </c>
      <c r="BO28" s="191">
        <v>20</v>
      </c>
      <c r="BP28" s="191" t="s">
        <v>173</v>
      </c>
      <c r="BQ28" s="191" t="s">
        <v>173</v>
      </c>
      <c r="BR28" s="191" t="s">
        <v>173</v>
      </c>
      <c r="BS28" s="193"/>
      <c r="BT28" s="191"/>
      <c r="BU28" s="191" t="s">
        <v>866</v>
      </c>
      <c r="BV28" s="191" t="s">
        <v>867</v>
      </c>
      <c r="BW28" s="191" t="s">
        <v>842</v>
      </c>
      <c r="BX28" s="191" t="s">
        <v>843</v>
      </c>
      <c r="BY28" s="191" t="s">
        <v>844</v>
      </c>
      <c r="BZ28" s="302" cm="1">
        <f t="array" ref="BZ28">SUMPRODUCT(($B$4:$BY$4="Must have")*(B28:BY28&lt;&gt;"")*(UPPER(TRIM(B28:BY28))&lt;&gt;"TBD"))</f>
        <v>51</v>
      </c>
      <c r="CA28" s="302" cm="1">
        <f t="array" ref="CA28">SUMPRODUCT(($B$4:$BY$4="Must have")*((B28:BY28="")+(UPPER(TRIM(B28:BY28))="TBD")))</f>
        <v>1</v>
      </c>
      <c r="CB28" s="302" cm="1">
        <f t="array" ref="CB28">SUMPRODUCT(($B$4:$BY$4="Good to have")*(B28:BY28&lt;&gt;"")*(UPPER(TRIM(B28:BY28))&lt;&gt;"TBD"))</f>
        <v>21</v>
      </c>
      <c r="CC28" s="302" cm="1">
        <f t="array" ref="CC28">SUMPRODUCT(($B$4:$BY$4="Good to have")*((B28:BY28="")+(UPPER(TRIM(B28:BY28))="TBD")))</f>
        <v>2</v>
      </c>
      <c r="CD28" s="175" t="str">
        <f t="shared" si="0"/>
        <v>96%</v>
      </c>
      <c r="CF28" s="174" t="s">
        <v>845</v>
      </c>
    </row>
    <row r="29" spans="1:84" ht="18">
      <c r="A29" s="183" t="s">
        <v>317</v>
      </c>
      <c r="B29" s="190">
        <v>5285</v>
      </c>
      <c r="C29" s="191" t="s">
        <v>325</v>
      </c>
      <c r="D29" s="191" t="s">
        <v>326</v>
      </c>
      <c r="E29" s="191" t="s">
        <v>868</v>
      </c>
      <c r="F29" s="191" t="s">
        <v>179</v>
      </c>
      <c r="G29" s="192" t="s">
        <v>681</v>
      </c>
      <c r="H29" s="193" t="s">
        <v>869</v>
      </c>
      <c r="I29" s="310" t="s">
        <v>859</v>
      </c>
      <c r="J29" s="191" t="s">
        <v>654</v>
      </c>
      <c r="K29" s="193" t="s">
        <v>182</v>
      </c>
      <c r="L29" s="17" t="s">
        <v>655</v>
      </c>
      <c r="M29" s="17" t="s">
        <v>438</v>
      </c>
      <c r="N29" s="17" t="s">
        <v>138</v>
      </c>
      <c r="O29" s="17" t="s">
        <v>223</v>
      </c>
      <c r="P29" s="348">
        <v>46507</v>
      </c>
      <c r="Q29" s="191" t="s">
        <v>848</v>
      </c>
      <c r="R29" s="17" t="s">
        <v>327</v>
      </c>
      <c r="S29" s="17" t="s">
        <v>764</v>
      </c>
      <c r="T29" s="17">
        <v>1</v>
      </c>
      <c r="U29" s="17" t="s">
        <v>808</v>
      </c>
      <c r="V29" s="191" t="s">
        <v>658</v>
      </c>
      <c r="W29" s="191" t="s">
        <v>850</v>
      </c>
      <c r="X29" s="193" t="s">
        <v>715</v>
      </c>
      <c r="Y29" s="17" t="s">
        <v>661</v>
      </c>
      <c r="Z29" s="17" t="s">
        <v>823</v>
      </c>
      <c r="AA29" s="17" t="s">
        <v>150</v>
      </c>
      <c r="AB29" s="191" t="s">
        <v>150</v>
      </c>
      <c r="AC29" s="17" t="s">
        <v>663</v>
      </c>
      <c r="AD29" s="17" t="s">
        <v>664</v>
      </c>
      <c r="AE29" s="191" t="s">
        <v>150</v>
      </c>
      <c r="AF29" s="17" t="s">
        <v>150</v>
      </c>
      <c r="AG29" s="17" t="s">
        <v>150</v>
      </c>
      <c r="AH29" s="193" t="s">
        <v>870</v>
      </c>
      <c r="AI29" s="193">
        <v>0</v>
      </c>
      <c r="AJ29" s="193" t="s">
        <v>808</v>
      </c>
      <c r="AK29" s="193" t="s">
        <v>871</v>
      </c>
      <c r="AL29" s="193">
        <v>1</v>
      </c>
      <c r="AM29" s="193" t="s">
        <v>808</v>
      </c>
      <c r="AN29" s="193" t="s">
        <v>872</v>
      </c>
      <c r="AO29" s="193" t="s">
        <v>873</v>
      </c>
      <c r="AP29" s="193" t="s">
        <v>865</v>
      </c>
      <c r="AQ29" s="17" t="s">
        <v>156</v>
      </c>
      <c r="AR29" s="17" t="s">
        <v>328</v>
      </c>
      <c r="AS29" s="191" t="s">
        <v>329</v>
      </c>
      <c r="AT29" s="17" t="s">
        <v>150</v>
      </c>
      <c r="AU29" s="193" t="s">
        <v>173</v>
      </c>
      <c r="AV29" s="17" t="s">
        <v>199</v>
      </c>
      <c r="AW29" s="17" t="s">
        <v>150</v>
      </c>
      <c r="AX29" s="193" t="s">
        <v>217</v>
      </c>
      <c r="AY29" s="17" t="s">
        <v>173</v>
      </c>
      <c r="AZ29" s="17" t="s">
        <v>173</v>
      </c>
      <c r="BA29" s="17" t="s">
        <v>856</v>
      </c>
      <c r="BB29" s="17" t="s">
        <v>674</v>
      </c>
      <c r="BC29" s="17" t="s">
        <v>836</v>
      </c>
      <c r="BD29" s="191">
        <v>1</v>
      </c>
      <c r="BE29" s="191">
        <v>0</v>
      </c>
      <c r="BF29" s="17" t="s">
        <v>837</v>
      </c>
      <c r="BG29" s="17" t="s">
        <v>150</v>
      </c>
      <c r="BH29" s="17" t="s">
        <v>203</v>
      </c>
      <c r="BI29" s="17" t="s">
        <v>838</v>
      </c>
      <c r="BJ29" s="17" t="s">
        <v>170</v>
      </c>
      <c r="BK29" s="17">
        <v>2</v>
      </c>
      <c r="BL29" s="191" t="s">
        <v>170</v>
      </c>
      <c r="BM29" s="332" t="s">
        <v>173</v>
      </c>
      <c r="BN29" s="17" t="s">
        <v>173</v>
      </c>
      <c r="BO29" s="191">
        <v>20</v>
      </c>
      <c r="BP29" s="191" t="s">
        <v>173</v>
      </c>
      <c r="BQ29" s="191" t="s">
        <v>173</v>
      </c>
      <c r="BR29" s="191" t="s">
        <v>173</v>
      </c>
      <c r="BS29" s="193"/>
      <c r="BT29" s="191" t="s">
        <v>874</v>
      </c>
      <c r="BU29" s="191"/>
      <c r="BV29" s="191" t="s">
        <v>875</v>
      </c>
      <c r="BW29" s="191" t="s">
        <v>216</v>
      </c>
      <c r="BX29" s="191" t="s">
        <v>776</v>
      </c>
      <c r="BY29" s="191" t="s">
        <v>776</v>
      </c>
      <c r="BZ29" s="302" cm="1">
        <f t="array" ref="BZ29">SUMPRODUCT(($B$4:$BY$4="Must have")*(B29:BY29&lt;&gt;"")*(UPPER(TRIM(B29:BY29))&lt;&gt;"TBD"))</f>
        <v>52</v>
      </c>
      <c r="CA29" s="302" cm="1">
        <f t="array" ref="CA29">SUMPRODUCT(($B$4:$BY$4="Must have")*((B29:BY29="")+(UPPER(TRIM(B29:BY29))="TBD")))</f>
        <v>0</v>
      </c>
      <c r="CB29" s="302" cm="1">
        <f t="array" ref="CB29">SUMPRODUCT(($B$4:$BY$4="Good to have")*(B29:BY29&lt;&gt;"")*(UPPER(TRIM(B29:BY29))&lt;&gt;"TBD"))</f>
        <v>21</v>
      </c>
      <c r="CC29" s="302" cm="1">
        <f t="array" ref="CC29">SUMPRODUCT(($B$4:$BY$4="Good to have")*((B29:BY29="")+(UPPER(TRIM(B29:BY29))="TBD")))</f>
        <v>2</v>
      </c>
      <c r="CD29" s="175" t="str">
        <f t="shared" si="0"/>
        <v>97.33%</v>
      </c>
      <c r="CF29" s="174" t="s">
        <v>845</v>
      </c>
    </row>
    <row r="30" spans="1:84" ht="18">
      <c r="A30" s="183" t="s">
        <v>324</v>
      </c>
      <c r="B30" s="190">
        <v>5290</v>
      </c>
      <c r="C30" s="191" t="s">
        <v>331</v>
      </c>
      <c r="D30" s="191" t="s">
        <v>876</v>
      </c>
      <c r="E30" s="191" t="s">
        <v>818</v>
      </c>
      <c r="F30" s="191" t="s">
        <v>179</v>
      </c>
      <c r="G30" s="192" t="s">
        <v>681</v>
      </c>
      <c r="H30" s="193" t="s">
        <v>847</v>
      </c>
      <c r="I30" s="310" t="s">
        <v>820</v>
      </c>
      <c r="J30" s="191" t="s">
        <v>654</v>
      </c>
      <c r="K30" s="193" t="s">
        <v>182</v>
      </c>
      <c r="L30" s="17" t="s">
        <v>655</v>
      </c>
      <c r="M30" s="17" t="s">
        <v>9</v>
      </c>
      <c r="N30" s="17" t="s">
        <v>138</v>
      </c>
      <c r="O30" s="17" t="s">
        <v>223</v>
      </c>
      <c r="P30" s="348">
        <v>46507</v>
      </c>
      <c r="Q30" s="191" t="s">
        <v>848</v>
      </c>
      <c r="R30" s="17" t="s">
        <v>327</v>
      </c>
      <c r="S30" s="17" t="s">
        <v>188</v>
      </c>
      <c r="T30" s="17">
        <v>1</v>
      </c>
      <c r="U30" s="17" t="s">
        <v>808</v>
      </c>
      <c r="V30" s="191" t="s">
        <v>849</v>
      </c>
      <c r="W30" s="191" t="s">
        <v>850</v>
      </c>
      <c r="X30" s="193" t="s">
        <v>715</v>
      </c>
      <c r="Y30" s="17" t="s">
        <v>661</v>
      </c>
      <c r="Z30" s="17" t="s">
        <v>823</v>
      </c>
      <c r="AA30" s="17" t="s">
        <v>150</v>
      </c>
      <c r="AB30" s="191" t="s">
        <v>150</v>
      </c>
      <c r="AC30" s="17" t="s">
        <v>187</v>
      </c>
      <c r="AD30" s="17" t="s">
        <v>664</v>
      </c>
      <c r="AE30" s="191" t="s">
        <v>138</v>
      </c>
      <c r="AF30" s="17" t="s">
        <v>150</v>
      </c>
      <c r="AG30" s="17" t="s">
        <v>150</v>
      </c>
      <c r="AH30" s="193" t="s">
        <v>877</v>
      </c>
      <c r="AI30" s="193">
        <v>0</v>
      </c>
      <c r="AJ30" s="193" t="s">
        <v>738</v>
      </c>
      <c r="AK30" s="193" t="s">
        <v>878</v>
      </c>
      <c r="AL30" s="193">
        <v>1</v>
      </c>
      <c r="AM30" s="193" t="s">
        <v>738</v>
      </c>
      <c r="AN30" s="193" t="s">
        <v>872</v>
      </c>
      <c r="AO30" s="193" t="s">
        <v>879</v>
      </c>
      <c r="AP30" s="193" t="s">
        <v>865</v>
      </c>
      <c r="AQ30" s="17" t="s">
        <v>156</v>
      </c>
      <c r="AR30" s="17" t="s">
        <v>333</v>
      </c>
      <c r="AS30" s="191"/>
      <c r="AT30" s="17" t="s">
        <v>138</v>
      </c>
      <c r="AU30" s="193" t="s">
        <v>312</v>
      </c>
      <c r="AV30" s="17" t="s">
        <v>199</v>
      </c>
      <c r="AW30" s="17" t="s">
        <v>150</v>
      </c>
      <c r="AX30" s="193" t="s">
        <v>160</v>
      </c>
      <c r="AY30" s="17" t="s">
        <v>215</v>
      </c>
      <c r="AZ30" s="17" t="s">
        <v>215</v>
      </c>
      <c r="BA30" s="17" t="s">
        <v>856</v>
      </c>
      <c r="BB30" s="17" t="s">
        <v>674</v>
      </c>
      <c r="BC30" s="17" t="s">
        <v>836</v>
      </c>
      <c r="BD30" s="191">
        <v>2</v>
      </c>
      <c r="BE30" s="191">
        <v>0</v>
      </c>
      <c r="BF30" s="17" t="s">
        <v>837</v>
      </c>
      <c r="BG30" s="17" t="s">
        <v>150</v>
      </c>
      <c r="BH30" s="17" t="s">
        <v>203</v>
      </c>
      <c r="BI30" s="17" t="s">
        <v>838</v>
      </c>
      <c r="BJ30" s="17" t="s">
        <v>170</v>
      </c>
      <c r="BK30" s="17">
        <v>2</v>
      </c>
      <c r="BL30" s="191" t="s">
        <v>170</v>
      </c>
      <c r="BM30" s="332" t="s">
        <v>173</v>
      </c>
      <c r="BN30" s="17" t="s">
        <v>173</v>
      </c>
      <c r="BO30" s="191">
        <v>20</v>
      </c>
      <c r="BP30" s="191" t="s">
        <v>173</v>
      </c>
      <c r="BQ30" s="191" t="s">
        <v>173</v>
      </c>
      <c r="BR30" s="191" t="s">
        <v>173</v>
      </c>
      <c r="BS30" s="193"/>
      <c r="BT30" s="191" t="s">
        <v>839</v>
      </c>
      <c r="BU30" s="191" t="s">
        <v>840</v>
      </c>
      <c r="BV30" s="191" t="s">
        <v>880</v>
      </c>
      <c r="BW30" s="191" t="s">
        <v>842</v>
      </c>
      <c r="BX30" s="191" t="s">
        <v>843</v>
      </c>
      <c r="BY30" s="191" t="s">
        <v>844</v>
      </c>
      <c r="BZ30" s="302" cm="1">
        <f t="array" ref="BZ30">SUMPRODUCT(($B$4:$BY$4="Must have")*(B30:BY30&lt;&gt;"")*(UPPER(TRIM(B30:BY30))&lt;&gt;"TBD"))</f>
        <v>49</v>
      </c>
      <c r="CA30" s="302" cm="1">
        <f t="array" ref="CA30">SUMPRODUCT(($B$4:$BY$4="Must have")*((B30:BY30="")+(UPPER(TRIM(B30:BY30))="TBD")))</f>
        <v>3</v>
      </c>
      <c r="CB30" s="302" cm="1">
        <f t="array" ref="CB30">SUMPRODUCT(($B$4:$BY$4="Good to have")*(B30:BY30&lt;&gt;"")*(UPPER(TRIM(B30:BY30))&lt;&gt;"TBD"))</f>
        <v>22</v>
      </c>
      <c r="CC30" s="302" cm="1">
        <f t="array" ref="CC30">SUMPRODUCT(($B$4:$BY$4="Good to have")*((B30:BY30="")+(UPPER(TRIM(B30:BY30))="TBD")))</f>
        <v>1</v>
      </c>
      <c r="CD30" s="175" t="str">
        <f t="shared" si="0"/>
        <v>94.67%</v>
      </c>
      <c r="CF30" s="174" t="s">
        <v>845</v>
      </c>
    </row>
    <row r="31" spans="1:84" ht="18.600000000000001">
      <c r="A31" s="183" t="s">
        <v>330</v>
      </c>
      <c r="B31" s="190">
        <v>5296</v>
      </c>
      <c r="C31" s="191" t="s">
        <v>335</v>
      </c>
      <c r="D31" s="191" t="s">
        <v>336</v>
      </c>
      <c r="E31" s="191" t="s">
        <v>818</v>
      </c>
      <c r="F31" s="191" t="s">
        <v>179</v>
      </c>
      <c r="G31" s="192" t="s">
        <v>681</v>
      </c>
      <c r="H31" s="193" t="s">
        <v>881</v>
      </c>
      <c r="I31" s="310" t="s">
        <v>820</v>
      </c>
      <c r="J31" s="191" t="s">
        <v>654</v>
      </c>
      <c r="K31" s="193" t="s">
        <v>182</v>
      </c>
      <c r="L31" s="17" t="s">
        <v>655</v>
      </c>
      <c r="M31" s="17" t="s">
        <v>9</v>
      </c>
      <c r="N31" s="17" t="s">
        <v>138</v>
      </c>
      <c r="O31" s="17" t="s">
        <v>223</v>
      </c>
      <c r="P31" s="348">
        <v>46507</v>
      </c>
      <c r="Q31" s="191" t="s">
        <v>848</v>
      </c>
      <c r="R31" s="17" t="s">
        <v>327</v>
      </c>
      <c r="S31" s="17" t="s">
        <v>187</v>
      </c>
      <c r="T31" s="17">
        <v>2</v>
      </c>
      <c r="U31" s="17" t="s">
        <v>882</v>
      </c>
      <c r="V31" s="191" t="s">
        <v>849</v>
      </c>
      <c r="W31" s="191" t="s">
        <v>850</v>
      </c>
      <c r="X31" s="193" t="s">
        <v>715</v>
      </c>
      <c r="Y31" s="17" t="s">
        <v>661</v>
      </c>
      <c r="Z31" s="17" t="s">
        <v>823</v>
      </c>
      <c r="AA31" s="17" t="s">
        <v>150</v>
      </c>
      <c r="AB31" s="191" t="s">
        <v>138</v>
      </c>
      <c r="AC31" s="17" t="s">
        <v>187</v>
      </c>
      <c r="AD31" s="17" t="s">
        <v>664</v>
      </c>
      <c r="AE31" s="191" t="s">
        <v>150</v>
      </c>
      <c r="AF31" s="17" t="s">
        <v>138</v>
      </c>
      <c r="AG31" s="17" t="s">
        <v>138</v>
      </c>
      <c r="AH31" s="193" t="s">
        <v>883</v>
      </c>
      <c r="AI31" s="193">
        <v>3</v>
      </c>
      <c r="AJ31" s="193" t="s">
        <v>738</v>
      </c>
      <c r="AK31" s="193" t="s">
        <v>884</v>
      </c>
      <c r="AL31" s="193">
        <v>12</v>
      </c>
      <c r="AM31" s="193" t="s">
        <v>738</v>
      </c>
      <c r="AN31" s="193" t="s">
        <v>830</v>
      </c>
      <c r="AO31" s="193" t="s">
        <v>885</v>
      </c>
      <c r="AP31" s="193" t="s">
        <v>854</v>
      </c>
      <c r="AQ31" s="17" t="s">
        <v>196</v>
      </c>
      <c r="AR31" s="17" t="s">
        <v>338</v>
      </c>
      <c r="AS31" s="191" t="s">
        <v>316</v>
      </c>
      <c r="AT31" s="17" t="s">
        <v>138</v>
      </c>
      <c r="AU31" s="193" t="s">
        <v>312</v>
      </c>
      <c r="AV31" s="17" t="s">
        <v>886</v>
      </c>
      <c r="AW31" s="17" t="s">
        <v>887</v>
      </c>
      <c r="AX31" s="193" t="s">
        <v>160</v>
      </c>
      <c r="AY31" s="17" t="s">
        <v>215</v>
      </c>
      <c r="AZ31" s="17" t="s">
        <v>215</v>
      </c>
      <c r="BA31" s="17" t="s">
        <v>856</v>
      </c>
      <c r="BB31" s="17" t="s">
        <v>674</v>
      </c>
      <c r="BC31" s="17" t="s">
        <v>836</v>
      </c>
      <c r="BD31" s="191">
        <v>5</v>
      </c>
      <c r="BE31" s="191">
        <v>0</v>
      </c>
      <c r="BF31" s="17" t="s">
        <v>837</v>
      </c>
      <c r="BG31" s="17" t="s">
        <v>150</v>
      </c>
      <c r="BH31" s="17" t="s">
        <v>203</v>
      </c>
      <c r="BI31" s="17" t="s">
        <v>838</v>
      </c>
      <c r="BJ31" s="17" t="s">
        <v>170</v>
      </c>
      <c r="BK31" s="17">
        <v>2</v>
      </c>
      <c r="BL31" s="191" t="s">
        <v>170</v>
      </c>
      <c r="BM31" s="17" t="s">
        <v>173</v>
      </c>
      <c r="BN31" s="17" t="s">
        <v>173</v>
      </c>
      <c r="BO31" s="191">
        <v>20</v>
      </c>
      <c r="BP31" s="316" t="s">
        <v>888</v>
      </c>
      <c r="BQ31" s="191" t="s">
        <v>173</v>
      </c>
      <c r="BR31" s="191" t="s">
        <v>173</v>
      </c>
      <c r="BS31" s="317">
        <v>7822.5</v>
      </c>
      <c r="BT31" s="191" t="s">
        <v>839</v>
      </c>
      <c r="BU31" s="191" t="s">
        <v>840</v>
      </c>
      <c r="BV31" s="191" t="s">
        <v>889</v>
      </c>
      <c r="BW31" s="191" t="s">
        <v>842</v>
      </c>
      <c r="BX31" s="191" t="s">
        <v>843</v>
      </c>
      <c r="BY31" s="191" t="s">
        <v>844</v>
      </c>
      <c r="BZ31" s="302" cm="1">
        <f t="array" ref="BZ31">SUMPRODUCT(($B$4:$BY$4="Must have")*(B31:BY31&lt;&gt;"")*(UPPER(TRIM(B31:BY31))&lt;&gt;"TBD"))</f>
        <v>50</v>
      </c>
      <c r="CA31" s="302" cm="1">
        <f t="array" ref="CA31">SUMPRODUCT(($B$4:$BY$4="Must have")*((B31:BY31="")+(UPPER(TRIM(B31:BY31))="TBD")))</f>
        <v>2</v>
      </c>
      <c r="CB31" s="302" cm="1">
        <f t="array" ref="CB31">SUMPRODUCT(($B$4:$BY$4="Good to have")*(B31:BY31&lt;&gt;"")*(UPPER(TRIM(B31:BY31))&lt;&gt;"TBD"))</f>
        <v>23</v>
      </c>
      <c r="CC31" s="302" cm="1">
        <f t="array" ref="CC31">SUMPRODUCT(($B$4:$BY$4="Good to have")*((B31:BY31="")+(UPPER(TRIM(B31:BY31))="TBD")))</f>
        <v>0</v>
      </c>
      <c r="CD31" s="175" t="str">
        <f t="shared" si="0"/>
        <v>97.33%</v>
      </c>
      <c r="CF31" s="174" t="s">
        <v>845</v>
      </c>
    </row>
    <row r="32" spans="1:84" ht="18.600000000000001">
      <c r="A32" s="183" t="s">
        <v>334</v>
      </c>
      <c r="B32" s="190">
        <v>5306</v>
      </c>
      <c r="C32" s="191" t="s">
        <v>340</v>
      </c>
      <c r="D32" s="191" t="s">
        <v>341</v>
      </c>
      <c r="E32" s="191" t="s">
        <v>890</v>
      </c>
      <c r="F32" s="191" t="s">
        <v>179</v>
      </c>
      <c r="G32" s="192" t="s">
        <v>681</v>
      </c>
      <c r="H32" s="193" t="s">
        <v>891</v>
      </c>
      <c r="I32" s="318" t="s">
        <v>892</v>
      </c>
      <c r="J32" s="191" t="s">
        <v>654</v>
      </c>
      <c r="K32" s="193" t="s">
        <v>182</v>
      </c>
      <c r="L32" s="17" t="s">
        <v>655</v>
      </c>
      <c r="M32" s="17" t="s">
        <v>221</v>
      </c>
      <c r="N32" s="17" t="s">
        <v>138</v>
      </c>
      <c r="O32" s="17" t="s">
        <v>223</v>
      </c>
      <c r="P32" s="348">
        <v>46507</v>
      </c>
      <c r="Q32" s="191" t="s">
        <v>848</v>
      </c>
      <c r="R32" s="17" t="s">
        <v>327</v>
      </c>
      <c r="S32" s="17" t="s">
        <v>663</v>
      </c>
      <c r="T32" s="17">
        <v>2</v>
      </c>
      <c r="U32" s="17" t="s">
        <v>893</v>
      </c>
      <c r="V32" s="191" t="s">
        <v>894</v>
      </c>
      <c r="W32" s="191" t="s">
        <v>850</v>
      </c>
      <c r="X32" s="193" t="s">
        <v>715</v>
      </c>
      <c r="Y32" s="17" t="s">
        <v>661</v>
      </c>
      <c r="Z32" s="17" t="s">
        <v>823</v>
      </c>
      <c r="AA32" s="17" t="s">
        <v>150</v>
      </c>
      <c r="AB32" s="191" t="s">
        <v>150</v>
      </c>
      <c r="AC32" s="17" t="s">
        <v>188</v>
      </c>
      <c r="AD32" s="17" t="s">
        <v>191</v>
      </c>
      <c r="AE32" s="191" t="s">
        <v>138</v>
      </c>
      <c r="AF32" s="17" t="s">
        <v>150</v>
      </c>
      <c r="AG32" s="17" t="s">
        <v>150</v>
      </c>
      <c r="AH32" s="316" t="s">
        <v>861</v>
      </c>
      <c r="AI32" s="223">
        <v>3</v>
      </c>
      <c r="AJ32" t="s">
        <v>895</v>
      </c>
      <c r="AK32" s="223" t="s">
        <v>896</v>
      </c>
      <c r="AL32" s="223">
        <v>3</v>
      </c>
      <c r="AM32" s="223" t="s">
        <v>895</v>
      </c>
      <c r="AN32" s="193" t="s">
        <v>897</v>
      </c>
      <c r="AO32" s="193" t="s">
        <v>215</v>
      </c>
      <c r="AP32" s="223">
        <v>0</v>
      </c>
      <c r="AQ32" s="17" t="s">
        <v>196</v>
      </c>
      <c r="AR32" s="17" t="s">
        <v>343</v>
      </c>
      <c r="AS32" s="191" t="s">
        <v>340</v>
      </c>
      <c r="AT32" s="17" t="s">
        <v>138</v>
      </c>
      <c r="AU32" s="193" t="s">
        <v>344</v>
      </c>
      <c r="AV32" s="17" t="s">
        <v>199</v>
      </c>
      <c r="AW32" s="239" t="s">
        <v>215</v>
      </c>
      <c r="AX32" s="193" t="s">
        <v>160</v>
      </c>
      <c r="AY32" s="17" t="s">
        <v>215</v>
      </c>
      <c r="AZ32" s="17" t="s">
        <v>215</v>
      </c>
      <c r="BA32" s="17" t="s">
        <v>856</v>
      </c>
      <c r="BB32" s="17" t="s">
        <v>674</v>
      </c>
      <c r="BC32" s="17" t="s">
        <v>836</v>
      </c>
      <c r="BD32" s="191">
        <v>1</v>
      </c>
      <c r="BE32" s="191">
        <v>0</v>
      </c>
      <c r="BF32" s="17" t="s">
        <v>837</v>
      </c>
      <c r="BG32" s="17" t="s">
        <v>150</v>
      </c>
      <c r="BH32" s="17" t="s">
        <v>203</v>
      </c>
      <c r="BI32" s="17" t="s">
        <v>838</v>
      </c>
      <c r="BJ32" s="17" t="s">
        <v>170</v>
      </c>
      <c r="BK32" s="17">
        <v>2</v>
      </c>
      <c r="BL32" s="191" t="s">
        <v>170</v>
      </c>
      <c r="BM32" s="17" t="s">
        <v>173</v>
      </c>
      <c r="BN32" s="17" t="s">
        <v>173</v>
      </c>
      <c r="BO32" s="191">
        <v>20</v>
      </c>
      <c r="BP32" s="191" t="s">
        <v>173</v>
      </c>
      <c r="BQ32" s="191" t="s">
        <v>173</v>
      </c>
      <c r="BR32" s="191" t="s">
        <v>173</v>
      </c>
      <c r="BS32" s="193" t="s">
        <v>173</v>
      </c>
      <c r="BT32" s="191" t="s">
        <v>874</v>
      </c>
      <c r="BU32" s="191"/>
      <c r="BV32" s="191" t="s">
        <v>898</v>
      </c>
      <c r="BW32" s="191" t="s">
        <v>899</v>
      </c>
      <c r="BX32" s="191" t="s">
        <v>699</v>
      </c>
      <c r="BY32" s="191" t="s">
        <v>700</v>
      </c>
      <c r="BZ32" s="302" cm="1">
        <f t="array" ref="BZ32">SUMPRODUCT(($B$4:$BY$4="Must have")*(B32:BY32&lt;&gt;"")*(UPPER(TRIM(B32:BY32))&lt;&gt;"TBD"))</f>
        <v>49</v>
      </c>
      <c r="CA32" s="302" cm="1">
        <f t="array" ref="CA32">SUMPRODUCT(($B$4:$BY$4="Must have")*((B32:BY32="")+(UPPER(TRIM(B32:BY32))="TBD")))</f>
        <v>3</v>
      </c>
      <c r="CB32" s="302" cm="1">
        <f t="array" ref="CB32">SUMPRODUCT(($B$4:$BY$4="Good to have")*(B32:BY32&lt;&gt;"")*(UPPER(TRIM(B32:BY32))&lt;&gt;"TBD"))</f>
        <v>21</v>
      </c>
      <c r="CC32" s="302" cm="1">
        <f t="array" ref="CC32">SUMPRODUCT(($B$4:$BY$4="Good to have")*((B32:BY32="")+(UPPER(TRIM(B32:BY32))="TBD")))</f>
        <v>2</v>
      </c>
      <c r="CD32" s="175" t="str">
        <f t="shared" si="0"/>
        <v>93.33%</v>
      </c>
      <c r="CF32" s="174" t="s">
        <v>845</v>
      </c>
    </row>
    <row r="33" spans="1:84" ht="18">
      <c r="A33" s="183" t="s">
        <v>339</v>
      </c>
      <c r="B33" s="190">
        <v>5307</v>
      </c>
      <c r="C33" s="191" t="s">
        <v>346</v>
      </c>
      <c r="D33" s="191" t="s">
        <v>347</v>
      </c>
      <c r="E33" s="191" t="s">
        <v>868</v>
      </c>
      <c r="F33" s="191" t="s">
        <v>179</v>
      </c>
      <c r="G33" s="192" t="s">
        <v>681</v>
      </c>
      <c r="H33" s="193" t="s">
        <v>869</v>
      </c>
      <c r="I33" s="318" t="s">
        <v>892</v>
      </c>
      <c r="J33" s="191" t="s">
        <v>654</v>
      </c>
      <c r="K33" s="193" t="s">
        <v>182</v>
      </c>
      <c r="L33" s="17" t="s">
        <v>655</v>
      </c>
      <c r="M33" s="17" t="s">
        <v>221</v>
      </c>
      <c r="N33" s="17" t="s">
        <v>138</v>
      </c>
      <c r="O33" s="17" t="s">
        <v>223</v>
      </c>
      <c r="P33" s="348">
        <v>46507</v>
      </c>
      <c r="Q33" s="191" t="s">
        <v>848</v>
      </c>
      <c r="R33" s="17" t="s">
        <v>327</v>
      </c>
      <c r="S33" s="17" t="s">
        <v>188</v>
      </c>
      <c r="T33" s="17">
        <v>2</v>
      </c>
      <c r="U33" s="17" t="s">
        <v>900</v>
      </c>
      <c r="V33" s="191" t="s">
        <v>658</v>
      </c>
      <c r="W33" s="191" t="s">
        <v>850</v>
      </c>
      <c r="X33" s="193" t="s">
        <v>715</v>
      </c>
      <c r="Y33" s="17" t="s">
        <v>661</v>
      </c>
      <c r="Z33" s="17" t="s">
        <v>823</v>
      </c>
      <c r="AA33" s="17" t="s">
        <v>150</v>
      </c>
      <c r="AB33" s="191" t="s">
        <v>150</v>
      </c>
      <c r="AC33" s="17" t="s">
        <v>187</v>
      </c>
      <c r="AD33" s="17" t="s">
        <v>191</v>
      </c>
      <c r="AE33" s="191" t="s">
        <v>138</v>
      </c>
      <c r="AF33" s="17" t="s">
        <v>150</v>
      </c>
      <c r="AG33" s="17" t="s">
        <v>150</v>
      </c>
      <c r="AH33" t="s">
        <v>861</v>
      </c>
      <c r="AI33" s="223">
        <v>3</v>
      </c>
      <c r="AJ33" s="223" t="s">
        <v>895</v>
      </c>
      <c r="AK33" s="223" t="s">
        <v>896</v>
      </c>
      <c r="AL33" s="223">
        <v>3</v>
      </c>
      <c r="AM33" s="223" t="s">
        <v>895</v>
      </c>
      <c r="AN33" s="193" t="s">
        <v>897</v>
      </c>
      <c r="AO33" s="193" t="s">
        <v>901</v>
      </c>
      <c r="AP33" s="223">
        <v>0</v>
      </c>
      <c r="AQ33" s="17" t="s">
        <v>902</v>
      </c>
      <c r="AR33" s="17" t="s">
        <v>348</v>
      </c>
      <c r="AS33" s="191" t="s">
        <v>346</v>
      </c>
      <c r="AT33" s="17" t="s">
        <v>138</v>
      </c>
      <c r="AU33" s="193" t="s">
        <v>349</v>
      </c>
      <c r="AV33" s="17" t="s">
        <v>199</v>
      </c>
      <c r="AW33" s="239" t="s">
        <v>215</v>
      </c>
      <c r="AX33" s="193" t="s">
        <v>160</v>
      </c>
      <c r="AY33" s="17" t="s">
        <v>215</v>
      </c>
      <c r="AZ33" s="17" t="s">
        <v>215</v>
      </c>
      <c r="BA33" s="17" t="s">
        <v>856</v>
      </c>
      <c r="BB33" s="17" t="s">
        <v>674</v>
      </c>
      <c r="BC33" s="17" t="s">
        <v>836</v>
      </c>
      <c r="BD33" s="191">
        <v>5</v>
      </c>
      <c r="BE33" s="191">
        <v>0</v>
      </c>
      <c r="BF33" s="17" t="s">
        <v>837</v>
      </c>
      <c r="BG33" s="17" t="s">
        <v>150</v>
      </c>
      <c r="BH33" s="17" t="s">
        <v>203</v>
      </c>
      <c r="BI33" s="17" t="s">
        <v>838</v>
      </c>
      <c r="BJ33" s="17" t="s">
        <v>170</v>
      </c>
      <c r="BK33" s="17">
        <v>2</v>
      </c>
      <c r="BL33" s="191" t="s">
        <v>170</v>
      </c>
      <c r="BM33" s="17" t="s">
        <v>173</v>
      </c>
      <c r="BN33" s="17" t="s">
        <v>173</v>
      </c>
      <c r="BO33" s="191">
        <v>20</v>
      </c>
      <c r="BP33" s="191" t="s">
        <v>173</v>
      </c>
      <c r="BQ33" s="191" t="s">
        <v>173</v>
      </c>
      <c r="BR33" s="191" t="s">
        <v>173</v>
      </c>
      <c r="BS33" s="193" t="s">
        <v>173</v>
      </c>
      <c r="BT33" s="191" t="s">
        <v>874</v>
      </c>
      <c r="BU33" s="191"/>
      <c r="BV33" s="191" t="s">
        <v>898</v>
      </c>
      <c r="BW33" s="191" t="s">
        <v>791</v>
      </c>
      <c r="BX33" s="191" t="s">
        <v>903</v>
      </c>
      <c r="BY33" s="191" t="s">
        <v>904</v>
      </c>
      <c r="BZ33" s="302" cm="1">
        <f t="array" ref="BZ33">SUMPRODUCT(($B$4:$BY$4="Must have")*(B33:BY33&lt;&gt;"")*(UPPER(TRIM(B33:BY33))&lt;&gt;"TBD"))</f>
        <v>49</v>
      </c>
      <c r="CA33" s="302" cm="1">
        <f t="array" ref="CA33">SUMPRODUCT(($B$4:$BY$4="Must have")*((B33:BY33="")+(UPPER(TRIM(B33:BY33))="TBD")))</f>
        <v>3</v>
      </c>
      <c r="CB33" s="302" cm="1">
        <f t="array" ref="CB33">SUMPRODUCT(($B$4:$BY$4="Good to have")*(B33:BY33&lt;&gt;"")*(UPPER(TRIM(B33:BY33))&lt;&gt;"TBD"))</f>
        <v>22</v>
      </c>
      <c r="CC33" s="302" cm="1">
        <f t="array" ref="CC33">SUMPRODUCT(($B$4:$BY$4="Good to have")*((B33:BY33="")+(UPPER(TRIM(B33:BY33))="TBD")))</f>
        <v>1</v>
      </c>
      <c r="CD33" s="175" t="str">
        <f t="shared" si="0"/>
        <v>94.67%</v>
      </c>
      <c r="CF33" s="174" t="s">
        <v>845</v>
      </c>
    </row>
    <row r="34" spans="1:84" ht="18">
      <c r="A34" s="183" t="s">
        <v>345</v>
      </c>
      <c r="B34" s="190">
        <v>5308</v>
      </c>
      <c r="C34" s="191" t="s">
        <v>351</v>
      </c>
      <c r="D34" s="191" t="s">
        <v>352</v>
      </c>
      <c r="E34" s="191" t="s">
        <v>868</v>
      </c>
      <c r="F34" s="191" t="s">
        <v>179</v>
      </c>
      <c r="G34" s="192" t="s">
        <v>681</v>
      </c>
      <c r="H34" s="193" t="s">
        <v>905</v>
      </c>
      <c r="I34" s="310" t="s">
        <v>546</v>
      </c>
      <c r="J34" s="191" t="s">
        <v>654</v>
      </c>
      <c r="K34" s="193" t="s">
        <v>772</v>
      </c>
      <c r="L34" s="17" t="s">
        <v>906</v>
      </c>
      <c r="M34" s="17" t="s">
        <v>438</v>
      </c>
      <c r="N34" s="17" t="s">
        <v>150</v>
      </c>
      <c r="O34" s="17" t="s">
        <v>223</v>
      </c>
      <c r="P34" s="348">
        <v>46233</v>
      </c>
      <c r="Q34" s="191" t="s">
        <v>848</v>
      </c>
      <c r="R34" s="17" t="s">
        <v>327</v>
      </c>
      <c r="S34" s="17" t="s">
        <v>663</v>
      </c>
      <c r="T34" s="17">
        <v>1</v>
      </c>
      <c r="U34" s="17" t="s">
        <v>907</v>
      </c>
      <c r="V34" s="191" t="s">
        <v>658</v>
      </c>
      <c r="W34" s="191" t="s">
        <v>850</v>
      </c>
      <c r="X34" s="193" t="s">
        <v>715</v>
      </c>
      <c r="Y34" s="17" t="s">
        <v>661</v>
      </c>
      <c r="Z34" s="17" t="s">
        <v>823</v>
      </c>
      <c r="AA34" s="17" t="s">
        <v>150</v>
      </c>
      <c r="AB34" s="191" t="s">
        <v>150</v>
      </c>
      <c r="AC34" s="17" t="s">
        <v>188</v>
      </c>
      <c r="AD34" s="17" t="s">
        <v>664</v>
      </c>
      <c r="AE34" s="191" t="s">
        <v>138</v>
      </c>
      <c r="AF34" s="17" t="s">
        <v>138</v>
      </c>
      <c r="AG34" s="17" t="s">
        <v>138</v>
      </c>
      <c r="AH34" s="191" t="s">
        <v>908</v>
      </c>
      <c r="AI34" s="193">
        <v>3</v>
      </c>
      <c r="AJ34" s="193" t="s">
        <v>895</v>
      </c>
      <c r="AK34" s="193" t="s">
        <v>909</v>
      </c>
      <c r="AL34" s="193">
        <v>1</v>
      </c>
      <c r="AM34" s="193" t="s">
        <v>852</v>
      </c>
      <c r="AN34" s="193" t="s">
        <v>863</v>
      </c>
      <c r="AO34" t="s">
        <v>910</v>
      </c>
      <c r="AP34" s="193" t="s">
        <v>911</v>
      </c>
      <c r="AQ34" s="17" t="s">
        <v>156</v>
      </c>
      <c r="AR34" s="191" t="s">
        <v>354</v>
      </c>
      <c r="AS34" s="191" t="s">
        <v>355</v>
      </c>
      <c r="AT34" s="17" t="s">
        <v>150</v>
      </c>
      <c r="AU34" s="193" t="s">
        <v>216</v>
      </c>
      <c r="AV34" s="17" t="s">
        <v>199</v>
      </c>
      <c r="AW34" s="17" t="s">
        <v>150</v>
      </c>
      <c r="AX34" s="193" t="s">
        <v>217</v>
      </c>
      <c r="AY34" s="17" t="s">
        <v>215</v>
      </c>
      <c r="AZ34" s="17" t="s">
        <v>215</v>
      </c>
      <c r="BA34" s="17" t="s">
        <v>856</v>
      </c>
      <c r="BB34" s="17" t="s">
        <v>674</v>
      </c>
      <c r="BC34" s="17" t="s">
        <v>836</v>
      </c>
      <c r="BD34" s="191">
        <v>2</v>
      </c>
      <c r="BE34" s="191">
        <v>0</v>
      </c>
      <c r="BF34" s="17" t="s">
        <v>837</v>
      </c>
      <c r="BG34" s="17" t="s">
        <v>150</v>
      </c>
      <c r="BH34" s="17" t="s">
        <v>168</v>
      </c>
      <c r="BI34" s="17" t="s">
        <v>838</v>
      </c>
      <c r="BJ34" s="17" t="s">
        <v>170</v>
      </c>
      <c r="BK34" s="17">
        <v>2</v>
      </c>
      <c r="BL34" s="191" t="s">
        <v>170</v>
      </c>
      <c r="BM34" s="17" t="s">
        <v>173</v>
      </c>
      <c r="BN34" s="17" t="s">
        <v>173</v>
      </c>
      <c r="BO34" s="191">
        <v>20</v>
      </c>
      <c r="BP34" s="191" t="s">
        <v>912</v>
      </c>
      <c r="BQ34" s="191" t="s">
        <v>173</v>
      </c>
      <c r="BR34" s="191" t="s">
        <v>173</v>
      </c>
      <c r="BS34" s="193"/>
      <c r="BT34" s="191" t="s">
        <v>874</v>
      </c>
      <c r="BU34" s="191"/>
      <c r="BV34" s="191" t="s">
        <v>697</v>
      </c>
      <c r="BW34" s="191" t="s">
        <v>216</v>
      </c>
      <c r="BX34" s="191" t="s">
        <v>776</v>
      </c>
      <c r="BY34" s="191" t="s">
        <v>776</v>
      </c>
      <c r="BZ34" s="302" cm="1">
        <f t="array" ref="BZ34">SUMPRODUCT(($B$4:$BY$4="Must have")*(B34:BY34&lt;&gt;"")*(UPPER(TRIM(B34:BY34))&lt;&gt;"TBD"))</f>
        <v>50</v>
      </c>
      <c r="CA34" s="302" cm="1">
        <f t="array" ref="CA34">SUMPRODUCT(($B$4:$BY$4="Must have")*((B34:BY34="")+(UPPER(TRIM(B34:BY34))="TBD")))</f>
        <v>2</v>
      </c>
      <c r="CB34" s="302" cm="1">
        <f t="array" ref="CB34">SUMPRODUCT(($B$4:$BY$4="Good to have")*(B34:BY34&lt;&gt;"")*(UPPER(TRIM(B34:BY34))&lt;&gt;"TBD"))</f>
        <v>21</v>
      </c>
      <c r="CC34" s="302" cm="1">
        <f t="array" ref="CC34">SUMPRODUCT(($B$4:$BY$4="Good to have")*((B34:BY34="")+(UPPER(TRIM(B34:BY34))="TBD")))</f>
        <v>2</v>
      </c>
      <c r="CD34" s="175" t="str">
        <f t="shared" si="0"/>
        <v>94.67%</v>
      </c>
      <c r="CF34" s="174" t="s">
        <v>845</v>
      </c>
    </row>
    <row r="35" spans="1:84" ht="18">
      <c r="A35" s="183" t="s">
        <v>350</v>
      </c>
      <c r="B35" s="190">
        <v>5309</v>
      </c>
      <c r="C35" s="191" t="s">
        <v>357</v>
      </c>
      <c r="D35" s="191" t="s">
        <v>913</v>
      </c>
      <c r="E35" s="191" t="s">
        <v>868</v>
      </c>
      <c r="F35" s="191" t="s">
        <v>179</v>
      </c>
      <c r="G35" s="192" t="s">
        <v>681</v>
      </c>
      <c r="H35" s="193" t="s">
        <v>869</v>
      </c>
      <c r="I35" s="310" t="s">
        <v>859</v>
      </c>
      <c r="J35" s="191" t="s">
        <v>654</v>
      </c>
      <c r="K35" s="193" t="s">
        <v>772</v>
      </c>
      <c r="L35" s="17" t="s">
        <v>655</v>
      </c>
      <c r="M35" s="17" t="s">
        <v>438</v>
      </c>
      <c r="N35" s="17" t="s">
        <v>150</v>
      </c>
      <c r="O35" s="17" t="s">
        <v>212</v>
      </c>
      <c r="P35" s="348">
        <v>46507</v>
      </c>
      <c r="Q35" s="191" t="s">
        <v>848</v>
      </c>
      <c r="R35" s="17" t="s">
        <v>914</v>
      </c>
      <c r="S35" s="17" t="s">
        <v>188</v>
      </c>
      <c r="T35" s="17">
        <v>1</v>
      </c>
      <c r="U35" s="17" t="s">
        <v>189</v>
      </c>
      <c r="V35" s="191" t="s">
        <v>658</v>
      </c>
      <c r="W35" s="191" t="s">
        <v>850</v>
      </c>
      <c r="X35" s="193" t="s">
        <v>715</v>
      </c>
      <c r="Y35" s="17" t="s">
        <v>661</v>
      </c>
      <c r="Z35" s="17" t="s">
        <v>915</v>
      </c>
      <c r="AA35" s="17" t="s">
        <v>150</v>
      </c>
      <c r="AB35" s="191" t="s">
        <v>150</v>
      </c>
      <c r="AC35" s="17" t="s">
        <v>663</v>
      </c>
      <c r="AD35" s="17" t="s">
        <v>664</v>
      </c>
      <c r="AE35" s="191" t="s">
        <v>138</v>
      </c>
      <c r="AF35" s="17" t="s">
        <v>150</v>
      </c>
      <c r="AG35" s="17" t="s">
        <v>150</v>
      </c>
      <c r="AH35" s="193" t="s">
        <v>443</v>
      </c>
      <c r="AI35" s="193">
        <v>1</v>
      </c>
      <c r="AJ35" s="193" t="s">
        <v>916</v>
      </c>
      <c r="AK35" s="193" t="s">
        <v>870</v>
      </c>
      <c r="AL35" s="193">
        <v>1</v>
      </c>
      <c r="AM35" s="193" t="s">
        <v>862</v>
      </c>
      <c r="AN35" s="193" t="s">
        <v>863</v>
      </c>
      <c r="AO35" t="s">
        <v>917</v>
      </c>
      <c r="AP35" s="193">
        <v>0</v>
      </c>
      <c r="AQ35" s="17" t="s">
        <v>902</v>
      </c>
      <c r="AR35" s="191" t="s">
        <v>359</v>
      </c>
      <c r="AS35" s="191" t="s">
        <v>443</v>
      </c>
      <c r="AT35" s="17" t="s">
        <v>150</v>
      </c>
      <c r="AU35" s="193" t="s">
        <v>216</v>
      </c>
      <c r="AV35" s="17" t="s">
        <v>199</v>
      </c>
      <c r="AW35" s="17" t="s">
        <v>150</v>
      </c>
      <c r="AX35" s="193" t="s">
        <v>216</v>
      </c>
      <c r="AY35" s="17" t="s">
        <v>173</v>
      </c>
      <c r="AZ35" s="17" t="s">
        <v>173</v>
      </c>
      <c r="BA35" s="17" t="s">
        <v>918</v>
      </c>
      <c r="BB35" s="17" t="s">
        <v>674</v>
      </c>
      <c r="BC35" s="17" t="s">
        <v>836</v>
      </c>
      <c r="BD35" s="191">
        <v>2</v>
      </c>
      <c r="BE35" s="191">
        <v>0</v>
      </c>
      <c r="BF35" s="17" t="s">
        <v>837</v>
      </c>
      <c r="BG35" s="17" t="s">
        <v>150</v>
      </c>
      <c r="BH35" s="17" t="s">
        <v>168</v>
      </c>
      <c r="BI35" s="17" t="s">
        <v>838</v>
      </c>
      <c r="BJ35" s="17" t="s">
        <v>170</v>
      </c>
      <c r="BK35" s="17">
        <v>2</v>
      </c>
      <c r="BL35" s="191" t="s">
        <v>170</v>
      </c>
      <c r="BM35" s="17">
        <v>1</v>
      </c>
      <c r="BN35" s="17">
        <v>1</v>
      </c>
      <c r="BO35" s="191">
        <v>1</v>
      </c>
      <c r="BP35" s="191" t="s">
        <v>173</v>
      </c>
      <c r="BQ35" s="191" t="s">
        <v>173</v>
      </c>
      <c r="BR35" s="191" t="s">
        <v>173</v>
      </c>
      <c r="BS35" s="193"/>
      <c r="BT35" s="191" t="s">
        <v>874</v>
      </c>
      <c r="BU35" s="191"/>
      <c r="BV35" s="191" t="s">
        <v>697</v>
      </c>
      <c r="BW35" s="191" t="s">
        <v>216</v>
      </c>
      <c r="BX35" s="191" t="s">
        <v>216</v>
      </c>
      <c r="BY35" s="191" t="s">
        <v>216</v>
      </c>
      <c r="BZ35" s="302" cm="1">
        <f t="array" ref="BZ35">SUMPRODUCT(($B$4:$BY$4="Must have")*(B35:BY35&lt;&gt;"")*(UPPER(TRIM(B35:BY35))&lt;&gt;"TBD"))</f>
        <v>52</v>
      </c>
      <c r="CA35" s="302" cm="1">
        <f t="array" ref="CA35">SUMPRODUCT(($B$4:$BY$4="Must have")*((B35:BY35="")+(UPPER(TRIM(B35:BY35))="TBD")))</f>
        <v>0</v>
      </c>
      <c r="CB35" s="302" cm="1">
        <f t="array" ref="CB35">SUMPRODUCT(($B$4:$BY$4="Good to have")*(B35:BY35&lt;&gt;"")*(UPPER(TRIM(B35:BY35))&lt;&gt;"TBD"))</f>
        <v>21</v>
      </c>
      <c r="CC35" s="302" cm="1">
        <f t="array" ref="CC35">SUMPRODUCT(($B$4:$BY$4="Good to have")*((B35:BY35="")+(UPPER(TRIM(B35:BY35))="TBD")))</f>
        <v>2</v>
      </c>
      <c r="CD35" s="175" t="str">
        <f t="shared" si="0"/>
        <v>97.33%</v>
      </c>
      <c r="CF35" s="174" t="s">
        <v>845</v>
      </c>
    </row>
    <row r="36" spans="1:84" ht="18">
      <c r="A36" s="183" t="s">
        <v>356</v>
      </c>
      <c r="B36" s="190">
        <v>5385</v>
      </c>
      <c r="C36" s="191" t="s">
        <v>361</v>
      </c>
      <c r="D36" s="191" t="s">
        <v>362</v>
      </c>
      <c r="E36" s="191" t="s">
        <v>868</v>
      </c>
      <c r="F36" s="191" t="s">
        <v>179</v>
      </c>
      <c r="G36" s="192" t="s">
        <v>681</v>
      </c>
      <c r="H36" s="193" t="s">
        <v>919</v>
      </c>
      <c r="I36" s="193" t="s">
        <v>439</v>
      </c>
      <c r="J36" s="191" t="s">
        <v>654</v>
      </c>
      <c r="K36" s="193" t="s">
        <v>772</v>
      </c>
      <c r="L36" s="17" t="s">
        <v>920</v>
      </c>
      <c r="M36" s="17" t="s">
        <v>816</v>
      </c>
      <c r="N36" s="17" t="s">
        <v>150</v>
      </c>
      <c r="O36" s="17" t="s">
        <v>212</v>
      </c>
      <c r="P36" s="348">
        <v>46387</v>
      </c>
      <c r="Q36" s="191" t="s">
        <v>848</v>
      </c>
      <c r="R36" s="17" t="s">
        <v>921</v>
      </c>
      <c r="S36" s="17" t="s">
        <v>188</v>
      </c>
      <c r="T36" s="17">
        <v>1</v>
      </c>
      <c r="U36" s="307" t="s">
        <v>189</v>
      </c>
      <c r="V36" s="191" t="s">
        <v>173</v>
      </c>
      <c r="W36" s="191" t="s">
        <v>173</v>
      </c>
      <c r="X36" s="193" t="s">
        <v>715</v>
      </c>
      <c r="Y36" s="17" t="s">
        <v>661</v>
      </c>
      <c r="Z36" s="17" t="s">
        <v>662</v>
      </c>
      <c r="AA36" s="17" t="s">
        <v>150</v>
      </c>
      <c r="AB36" s="191" t="s">
        <v>150</v>
      </c>
      <c r="AC36" s="17" t="s">
        <v>188</v>
      </c>
      <c r="AD36" s="17" t="s">
        <v>664</v>
      </c>
      <c r="AE36" s="191" t="s">
        <v>150</v>
      </c>
      <c r="AF36" s="17" t="s">
        <v>150</v>
      </c>
      <c r="AG36" s="17" t="s">
        <v>150</v>
      </c>
      <c r="AH36" s="193" t="s">
        <v>443</v>
      </c>
      <c r="AI36" s="193">
        <v>1</v>
      </c>
      <c r="AJ36" s="193" t="s">
        <v>922</v>
      </c>
      <c r="AK36" s="193" t="s">
        <v>173</v>
      </c>
      <c r="AL36" s="193" t="s">
        <v>173</v>
      </c>
      <c r="AM36" s="193" t="s">
        <v>173</v>
      </c>
      <c r="AN36" s="193" t="s">
        <v>863</v>
      </c>
      <c r="AO36" s="193" t="s">
        <v>923</v>
      </c>
      <c r="AP36" s="193">
        <v>0</v>
      </c>
      <c r="AQ36" s="17" t="s">
        <v>156</v>
      </c>
      <c r="AR36" s="191" t="s">
        <v>364</v>
      </c>
      <c r="AS36" s="191" t="s">
        <v>365</v>
      </c>
      <c r="AT36" s="17" t="s">
        <v>150</v>
      </c>
      <c r="AU36" s="193" t="s">
        <v>366</v>
      </c>
      <c r="AV36" s="17" t="s">
        <v>199</v>
      </c>
      <c r="AW36" s="17" t="s">
        <v>150</v>
      </c>
      <c r="AX36" s="193" t="s">
        <v>160</v>
      </c>
      <c r="AY36" s="17" t="s">
        <v>173</v>
      </c>
      <c r="AZ36" s="17" t="s">
        <v>173</v>
      </c>
      <c r="BA36" s="17" t="s">
        <v>752</v>
      </c>
      <c r="BB36" s="17" t="s">
        <v>674</v>
      </c>
      <c r="BC36" s="17" t="s">
        <v>836</v>
      </c>
      <c r="BD36" s="191">
        <v>5</v>
      </c>
      <c r="BE36" s="191">
        <v>0</v>
      </c>
      <c r="BF36" s="17" t="s">
        <v>837</v>
      </c>
      <c r="BG36" s="17" t="s">
        <v>150</v>
      </c>
      <c r="BH36" s="17" t="s">
        <v>203</v>
      </c>
      <c r="BI36" s="17" t="s">
        <v>204</v>
      </c>
      <c r="BJ36" s="17" t="s">
        <v>170</v>
      </c>
      <c r="BK36" s="17">
        <v>2</v>
      </c>
      <c r="BL36" s="191" t="s">
        <v>170</v>
      </c>
      <c r="BM36" s="17">
        <v>5</v>
      </c>
      <c r="BN36" s="17">
        <v>1</v>
      </c>
      <c r="BO36" s="191">
        <v>20</v>
      </c>
      <c r="BP36" s="307" t="s">
        <v>924</v>
      </c>
      <c r="BQ36" s="191" t="s">
        <v>173</v>
      </c>
      <c r="BR36" s="191" t="s">
        <v>173</v>
      </c>
      <c r="BS36" s="193"/>
      <c r="BT36" s="191" t="s">
        <v>925</v>
      </c>
      <c r="BU36" s="191" t="s">
        <v>439</v>
      </c>
      <c r="BV36" s="191" t="s">
        <v>926</v>
      </c>
      <c r="BW36" s="191" t="s">
        <v>842</v>
      </c>
      <c r="BX36" s="191" t="s">
        <v>843</v>
      </c>
      <c r="BY36" s="191" t="s">
        <v>844</v>
      </c>
      <c r="BZ36" s="302" cm="1">
        <f t="array" ref="BZ36">SUMPRODUCT(($B$4:$BY$4="Must have")*(B36:BY36&lt;&gt;"")*(UPPER(TRIM(B36:BY36))&lt;&gt;"TBD"))</f>
        <v>52</v>
      </c>
      <c r="CA36" s="302" cm="1">
        <f t="array" ref="CA36">SUMPRODUCT(($B$4:$BY$4="Must have")*((B36:BY36="")+(UPPER(TRIM(B36:BY36))="TBD")))</f>
        <v>0</v>
      </c>
      <c r="CB36" s="302" cm="1">
        <f t="array" ref="CB36">SUMPRODUCT(($B$4:$BY$4="Good to have")*(B36:BY36&lt;&gt;"")*(UPPER(TRIM(B36:BY36))&lt;&gt;"TBD"))</f>
        <v>22</v>
      </c>
      <c r="CC36" s="302" cm="1">
        <f t="array" ref="CC36">SUMPRODUCT(($B$4:$BY$4="Good to have")*((B36:BY36="")+(UPPER(TRIM(B36:BY36))="TBD")))</f>
        <v>1</v>
      </c>
      <c r="CD36" s="175" t="str">
        <f t="shared" si="0"/>
        <v>98.67%</v>
      </c>
      <c r="CF36" s="174" t="s">
        <v>845</v>
      </c>
    </row>
    <row r="37" spans="1:84" ht="42.6" customHeight="1">
      <c r="A37" s="183" t="s">
        <v>360</v>
      </c>
      <c r="B37" s="190">
        <v>5390</v>
      </c>
      <c r="C37" s="191" t="s">
        <v>368</v>
      </c>
      <c r="D37" s="191" t="s">
        <v>369</v>
      </c>
      <c r="E37" s="191" t="s">
        <v>868</v>
      </c>
      <c r="F37" s="191" t="s">
        <v>179</v>
      </c>
      <c r="G37" s="192" t="s">
        <v>681</v>
      </c>
      <c r="H37" s="193" t="s">
        <v>927</v>
      </c>
      <c r="I37" s="193" t="s">
        <v>928</v>
      </c>
      <c r="J37" s="191" t="s">
        <v>654</v>
      </c>
      <c r="K37" s="193" t="s">
        <v>182</v>
      </c>
      <c r="L37" s="17" t="s">
        <v>655</v>
      </c>
      <c r="M37" s="17" t="s">
        <v>438</v>
      </c>
      <c r="N37" s="17" t="s">
        <v>138</v>
      </c>
      <c r="O37" s="17" t="s">
        <v>212</v>
      </c>
      <c r="P37" s="348">
        <v>46310</v>
      </c>
      <c r="Q37" s="191" t="s">
        <v>848</v>
      </c>
      <c r="R37" s="17" t="s">
        <v>929</v>
      </c>
      <c r="S37" s="17" t="s">
        <v>188</v>
      </c>
      <c r="T37" s="17">
        <v>1</v>
      </c>
      <c r="U37" s="17" t="s">
        <v>189</v>
      </c>
      <c r="V37" s="191" t="s">
        <v>658</v>
      </c>
      <c r="W37" s="191" t="s">
        <v>850</v>
      </c>
      <c r="X37" s="193" t="s">
        <v>715</v>
      </c>
      <c r="Y37" s="17" t="s">
        <v>661</v>
      </c>
      <c r="Z37" s="17" t="s">
        <v>915</v>
      </c>
      <c r="AA37" s="17" t="s">
        <v>138</v>
      </c>
      <c r="AB37" s="191" t="s">
        <v>150</v>
      </c>
      <c r="AC37" s="17" t="s">
        <v>188</v>
      </c>
      <c r="AD37" s="17" t="s">
        <v>664</v>
      </c>
      <c r="AE37" s="191" t="s">
        <v>150</v>
      </c>
      <c r="AF37" s="17" t="s">
        <v>150</v>
      </c>
      <c r="AG37" s="17" t="s">
        <v>150</v>
      </c>
      <c r="AH37" s="193" t="s">
        <v>930</v>
      </c>
      <c r="AI37" s="193">
        <v>2</v>
      </c>
      <c r="AJ37" s="193" t="s">
        <v>916</v>
      </c>
      <c r="AK37" s="193" t="s">
        <v>216</v>
      </c>
      <c r="AL37" s="193">
        <v>0</v>
      </c>
      <c r="AM37" s="193" t="s">
        <v>216</v>
      </c>
      <c r="AN37" s="193" t="s">
        <v>863</v>
      </c>
      <c r="AO37" s="193" t="s">
        <v>931</v>
      </c>
      <c r="AP37" s="193">
        <v>0</v>
      </c>
      <c r="AQ37" s="17" t="s">
        <v>156</v>
      </c>
      <c r="AR37" s="191" t="s">
        <v>371</v>
      </c>
      <c r="AS37" s="191" t="s">
        <v>372</v>
      </c>
      <c r="AT37" s="17" t="s">
        <v>150</v>
      </c>
      <c r="AU37" s="193" t="s">
        <v>216</v>
      </c>
      <c r="AV37" s="17" t="s">
        <v>199</v>
      </c>
      <c r="AW37" s="17" t="s">
        <v>150</v>
      </c>
      <c r="AX37" s="193" t="s">
        <v>217</v>
      </c>
      <c r="AY37" s="17" t="s">
        <v>173</v>
      </c>
      <c r="AZ37" s="17" t="s">
        <v>173</v>
      </c>
      <c r="BA37" s="17" t="s">
        <v>752</v>
      </c>
      <c r="BB37" s="17" t="s">
        <v>674</v>
      </c>
      <c r="BC37" s="17" t="s">
        <v>836</v>
      </c>
      <c r="BD37" s="191">
        <v>5</v>
      </c>
      <c r="BE37" s="191">
        <v>0</v>
      </c>
      <c r="BF37" s="17" t="s">
        <v>837</v>
      </c>
      <c r="BG37" s="17" t="s">
        <v>150</v>
      </c>
      <c r="BH37" s="17" t="s">
        <v>168</v>
      </c>
      <c r="BI37" s="17" t="s">
        <v>204</v>
      </c>
      <c r="BJ37" s="17" t="s">
        <v>170</v>
      </c>
      <c r="BK37" s="17">
        <v>1</v>
      </c>
      <c r="BL37" s="191" t="s">
        <v>170</v>
      </c>
      <c r="BM37" s="17">
        <v>7</v>
      </c>
      <c r="BN37" s="17">
        <v>1</v>
      </c>
      <c r="BO37" s="191">
        <v>20</v>
      </c>
      <c r="BP37" s="191" t="s">
        <v>932</v>
      </c>
      <c r="BQ37" s="191" t="s">
        <v>173</v>
      </c>
      <c r="BR37" s="191" t="s">
        <v>173</v>
      </c>
      <c r="BS37" s="193"/>
      <c r="BT37" s="191" t="s">
        <v>382</v>
      </c>
      <c r="BU37" s="191" t="s">
        <v>933</v>
      </c>
      <c r="BV37" s="191"/>
      <c r="BW37" s="191" t="s">
        <v>216</v>
      </c>
      <c r="BX37" s="191" t="s">
        <v>776</v>
      </c>
      <c r="BY37" s="191" t="s">
        <v>776</v>
      </c>
      <c r="BZ37" s="302" cm="1">
        <f t="array" ref="BZ37">SUMPRODUCT(($B$4:$BY$4="Must have")*(B37:BY37&lt;&gt;"")*(UPPER(TRIM(B37:BY37))&lt;&gt;"TBD"))</f>
        <v>52</v>
      </c>
      <c r="CA37" s="302" cm="1">
        <f t="array" ref="CA37">SUMPRODUCT(($B$4:$BY$4="Must have")*((B37:BY37="")+(UPPER(TRIM(B37:BY37))="TBD")))</f>
        <v>0</v>
      </c>
      <c r="CB37" s="302" cm="1">
        <f t="array" ref="CB37">SUMPRODUCT(($B$4:$BY$4="Good to have")*(B37:BY37&lt;&gt;"")*(UPPER(TRIM(B37:BY37))&lt;&gt;"TBD"))</f>
        <v>21</v>
      </c>
      <c r="CC37" s="302" cm="1">
        <f t="array" ref="CC37">SUMPRODUCT(($B$4:$BY$4="Good to have")*((B37:BY37="")+(UPPER(TRIM(B37:BY37))="TBD")))</f>
        <v>2</v>
      </c>
      <c r="CD37" s="175" t="str">
        <f t="shared" si="0"/>
        <v>97.33%</v>
      </c>
      <c r="CF37" s="174" t="s">
        <v>845</v>
      </c>
    </row>
    <row r="38" spans="1:84" ht="18">
      <c r="A38" s="183" t="s">
        <v>367</v>
      </c>
      <c r="B38" s="190">
        <v>5408</v>
      </c>
      <c r="C38" s="191" t="s">
        <v>374</v>
      </c>
      <c r="D38" s="191" t="s">
        <v>375</v>
      </c>
      <c r="E38" s="191" t="s">
        <v>868</v>
      </c>
      <c r="F38" s="191" t="s">
        <v>179</v>
      </c>
      <c r="G38" s="192" t="s">
        <v>681</v>
      </c>
      <c r="H38" s="193" t="s">
        <v>934</v>
      </c>
      <c r="I38" s="319" t="s">
        <v>892</v>
      </c>
      <c r="J38" s="191" t="s">
        <v>654</v>
      </c>
      <c r="K38" s="193" t="s">
        <v>182</v>
      </c>
      <c r="L38" s="17" t="s">
        <v>814</v>
      </c>
      <c r="M38" s="17" t="s">
        <v>438</v>
      </c>
      <c r="N38" s="17" t="s">
        <v>216</v>
      </c>
      <c r="O38" s="17" t="s">
        <v>223</v>
      </c>
      <c r="P38" s="348">
        <v>46203</v>
      </c>
      <c r="Q38" s="191" t="s">
        <v>848</v>
      </c>
      <c r="R38" s="17" t="s">
        <v>935</v>
      </c>
      <c r="S38" s="17" t="s">
        <v>663</v>
      </c>
      <c r="T38" s="17">
        <v>1</v>
      </c>
      <c r="U38" s="17" t="s">
        <v>936</v>
      </c>
      <c r="V38" s="191" t="s">
        <v>658</v>
      </c>
      <c r="W38" s="191" t="s">
        <v>850</v>
      </c>
      <c r="X38" s="193" t="s">
        <v>715</v>
      </c>
      <c r="Y38" s="17" t="s">
        <v>661</v>
      </c>
      <c r="Z38" s="17" t="s">
        <v>662</v>
      </c>
      <c r="AA38" s="17" t="s">
        <v>150</v>
      </c>
      <c r="AB38" s="191" t="s">
        <v>150</v>
      </c>
      <c r="AC38" s="17" t="s">
        <v>663</v>
      </c>
      <c r="AD38" s="17" t="s">
        <v>664</v>
      </c>
      <c r="AE38" s="191" t="s">
        <v>173</v>
      </c>
      <c r="AF38" s="17" t="s">
        <v>150</v>
      </c>
      <c r="AG38" s="17" t="s">
        <v>150</v>
      </c>
      <c r="AH38" s="193" t="s">
        <v>173</v>
      </c>
      <c r="AI38" s="193" t="s">
        <v>173</v>
      </c>
      <c r="AJ38" s="193" t="s">
        <v>173</v>
      </c>
      <c r="AK38" s="193" t="s">
        <v>443</v>
      </c>
      <c r="AL38" s="193">
        <v>1</v>
      </c>
      <c r="AM38" s="193" t="s">
        <v>916</v>
      </c>
      <c r="AN38" s="193" t="s">
        <v>863</v>
      </c>
      <c r="AO38" s="193" t="s">
        <v>937</v>
      </c>
      <c r="AP38" s="193" t="s">
        <v>938</v>
      </c>
      <c r="AQ38" s="17" t="s">
        <v>939</v>
      </c>
      <c r="AR38" s="191" t="s">
        <v>376</v>
      </c>
      <c r="AS38" s="191" t="s">
        <v>372</v>
      </c>
      <c r="AT38" s="17" t="s">
        <v>150</v>
      </c>
      <c r="AU38" s="193" t="s">
        <v>216</v>
      </c>
      <c r="AV38" s="17" t="s">
        <v>199</v>
      </c>
      <c r="AW38" s="17" t="s">
        <v>150</v>
      </c>
      <c r="AX38" s="193" t="s">
        <v>217</v>
      </c>
      <c r="AY38" s="17" t="s">
        <v>173</v>
      </c>
      <c r="AZ38" s="17" t="s">
        <v>173</v>
      </c>
      <c r="BA38" s="17" t="s">
        <v>752</v>
      </c>
      <c r="BB38" s="17" t="s">
        <v>674</v>
      </c>
      <c r="BC38" s="17" t="s">
        <v>836</v>
      </c>
      <c r="BD38" s="191">
        <v>1</v>
      </c>
      <c r="BE38" s="191">
        <v>0</v>
      </c>
      <c r="BF38" s="17" t="s">
        <v>837</v>
      </c>
      <c r="BG38" s="17" t="s">
        <v>138</v>
      </c>
      <c r="BH38" s="17" t="s">
        <v>203</v>
      </c>
      <c r="BI38" s="17" t="s">
        <v>204</v>
      </c>
      <c r="BJ38" s="17" t="s">
        <v>170</v>
      </c>
      <c r="BK38" s="17">
        <v>2</v>
      </c>
      <c r="BL38" s="191" t="s">
        <v>170</v>
      </c>
      <c r="BM38" s="17">
        <v>7</v>
      </c>
      <c r="BN38" s="17">
        <v>1</v>
      </c>
      <c r="BO38" s="191">
        <v>20</v>
      </c>
      <c r="BP38" s="191" t="s">
        <v>932</v>
      </c>
      <c r="BQ38" s="191" t="s">
        <v>173</v>
      </c>
      <c r="BR38" s="191" t="s">
        <v>173</v>
      </c>
      <c r="BS38" s="193"/>
      <c r="BT38" s="191" t="s">
        <v>374</v>
      </c>
      <c r="BU38" s="191" t="s">
        <v>928</v>
      </c>
      <c r="BV38" s="191" t="s">
        <v>940</v>
      </c>
      <c r="BW38" s="191" t="s">
        <v>216</v>
      </c>
      <c r="BX38" s="191" t="s">
        <v>776</v>
      </c>
      <c r="BY38" s="191" t="s">
        <v>776</v>
      </c>
      <c r="BZ38" s="302" cm="1">
        <f t="array" ref="BZ38">SUMPRODUCT(($B$4:$BY$4="Must have")*(B38:BY38&lt;&gt;"")*(UPPER(TRIM(B38:BY38))&lt;&gt;"TBD"))</f>
        <v>52</v>
      </c>
      <c r="CA38" s="302" cm="1">
        <f t="array" ref="CA38">SUMPRODUCT(($B$4:$BY$4="Must have")*((B38:BY38="")+(UPPER(TRIM(B38:BY38))="TBD")))</f>
        <v>0</v>
      </c>
      <c r="CB38" s="302" cm="1">
        <f t="array" ref="CB38">SUMPRODUCT(($B$4:$BY$4="Good to have")*(B38:BY38&lt;&gt;"")*(UPPER(TRIM(B38:BY38))&lt;&gt;"TBD"))</f>
        <v>22</v>
      </c>
      <c r="CC38" s="302" cm="1">
        <f t="array" ref="CC38">SUMPRODUCT(($B$4:$BY$4="Good to have")*((B38:BY38="")+(UPPER(TRIM(B38:BY38))="TBD")))</f>
        <v>1</v>
      </c>
      <c r="CD38" s="175" t="str">
        <f t="shared" si="0"/>
        <v>98.67%</v>
      </c>
      <c r="CF38" s="174" t="s">
        <v>845</v>
      </c>
    </row>
    <row r="39" spans="1:84" ht="18">
      <c r="A39" s="183" t="s">
        <v>373</v>
      </c>
      <c r="B39" s="190">
        <v>5413</v>
      </c>
      <c r="C39" s="191" t="s">
        <v>378</v>
      </c>
      <c r="D39" s="191" t="s">
        <v>379</v>
      </c>
      <c r="E39" s="191" t="s">
        <v>868</v>
      </c>
      <c r="F39" s="191" t="s">
        <v>179</v>
      </c>
      <c r="G39" s="192" t="s">
        <v>681</v>
      </c>
      <c r="H39" s="193" t="s">
        <v>919</v>
      </c>
      <c r="I39" s="193" t="s">
        <v>439</v>
      </c>
      <c r="J39" s="191" t="s">
        <v>654</v>
      </c>
      <c r="K39" s="193" t="s">
        <v>772</v>
      </c>
      <c r="L39" s="17" t="s">
        <v>655</v>
      </c>
      <c r="M39" s="17" t="s">
        <v>816</v>
      </c>
      <c r="N39" s="17" t="s">
        <v>138</v>
      </c>
      <c r="O39" s="17" t="s">
        <v>212</v>
      </c>
      <c r="P39" s="348">
        <v>46387</v>
      </c>
      <c r="Q39" s="191" t="s">
        <v>848</v>
      </c>
      <c r="R39" s="17" t="s">
        <v>941</v>
      </c>
      <c r="S39" s="17" t="s">
        <v>663</v>
      </c>
      <c r="T39" s="17">
        <v>1</v>
      </c>
      <c r="U39" s="307" t="s">
        <v>189</v>
      </c>
      <c r="V39" s="191" t="s">
        <v>173</v>
      </c>
      <c r="W39" s="191" t="s">
        <v>173</v>
      </c>
      <c r="X39" s="193" t="s">
        <v>715</v>
      </c>
      <c r="Y39" s="17" t="s">
        <v>661</v>
      </c>
      <c r="Z39" s="17" t="s">
        <v>662</v>
      </c>
      <c r="AA39" s="17" t="s">
        <v>150</v>
      </c>
      <c r="AB39" s="191" t="s">
        <v>150</v>
      </c>
      <c r="AC39" s="17" t="s">
        <v>188</v>
      </c>
      <c r="AD39" s="17" t="s">
        <v>664</v>
      </c>
      <c r="AE39" s="191" t="s">
        <v>150</v>
      </c>
      <c r="AF39" s="17" t="s">
        <v>150</v>
      </c>
      <c r="AG39" s="17" t="s">
        <v>150</v>
      </c>
      <c r="AH39" s="193" t="s">
        <v>942</v>
      </c>
      <c r="AI39" s="193">
        <v>2</v>
      </c>
      <c r="AJ39" s="193" t="s">
        <v>943</v>
      </c>
      <c r="AK39" s="193" t="s">
        <v>173</v>
      </c>
      <c r="AL39" s="193" t="s">
        <v>173</v>
      </c>
      <c r="AM39" s="193" t="s">
        <v>173</v>
      </c>
      <c r="AN39" s="193" t="s">
        <v>863</v>
      </c>
      <c r="AO39" s="193" t="s">
        <v>944</v>
      </c>
      <c r="AP39" s="193">
        <v>0</v>
      </c>
      <c r="AQ39" s="17" t="s">
        <v>945</v>
      </c>
      <c r="AR39" s="191" t="s">
        <v>380</v>
      </c>
      <c r="AS39" s="191" t="s">
        <v>365</v>
      </c>
      <c r="AT39" s="17" t="s">
        <v>150</v>
      </c>
      <c r="AU39" s="193" t="s">
        <v>366</v>
      </c>
      <c r="AV39" s="17" t="s">
        <v>199</v>
      </c>
      <c r="AW39" s="17" t="s">
        <v>150</v>
      </c>
      <c r="AX39" s="193" t="s">
        <v>160</v>
      </c>
      <c r="AY39" s="17" t="s">
        <v>173</v>
      </c>
      <c r="AZ39" s="17" t="s">
        <v>173</v>
      </c>
      <c r="BA39" s="17" t="s">
        <v>752</v>
      </c>
      <c r="BB39" s="17" t="s">
        <v>674</v>
      </c>
      <c r="BC39" s="17" t="s">
        <v>836</v>
      </c>
      <c r="BD39" s="191">
        <v>2</v>
      </c>
      <c r="BE39" s="191">
        <v>0</v>
      </c>
      <c r="BF39" s="17" t="s">
        <v>837</v>
      </c>
      <c r="BG39" s="17" t="s">
        <v>150</v>
      </c>
      <c r="BH39" s="17" t="s">
        <v>203</v>
      </c>
      <c r="BI39" s="17" t="s">
        <v>204</v>
      </c>
      <c r="BJ39" s="17" t="s">
        <v>170</v>
      </c>
      <c r="BK39" s="17">
        <v>2</v>
      </c>
      <c r="BL39" s="191" t="s">
        <v>170</v>
      </c>
      <c r="BM39" s="17">
        <v>5</v>
      </c>
      <c r="BN39" s="17">
        <v>1</v>
      </c>
      <c r="BO39" s="191">
        <v>20</v>
      </c>
      <c r="BP39" s="307" t="s">
        <v>924</v>
      </c>
      <c r="BQ39" s="191" t="s">
        <v>173</v>
      </c>
      <c r="BR39" s="191" t="s">
        <v>173</v>
      </c>
      <c r="BS39" s="193"/>
      <c r="BT39" s="191" t="s">
        <v>925</v>
      </c>
      <c r="BU39" s="191" t="s">
        <v>439</v>
      </c>
      <c r="BV39" s="191" t="s">
        <v>946</v>
      </c>
      <c r="BW39" s="191" t="s">
        <v>842</v>
      </c>
      <c r="BX39" s="191" t="s">
        <v>843</v>
      </c>
      <c r="BY39" s="191" t="s">
        <v>844</v>
      </c>
      <c r="BZ39" s="302" cm="1">
        <f t="array" ref="BZ39">SUMPRODUCT(($B$4:$BY$4="Must have")*(B39:BY39&lt;&gt;"")*(UPPER(TRIM(B39:BY39))&lt;&gt;"TBD"))</f>
        <v>52</v>
      </c>
      <c r="CA39" s="302" cm="1">
        <f t="array" ref="CA39">SUMPRODUCT(($B$4:$BY$4="Must have")*((B39:BY39="")+(UPPER(TRIM(B39:BY39))="TBD")))</f>
        <v>0</v>
      </c>
      <c r="CB39" s="302" cm="1">
        <f t="array" ref="CB39">SUMPRODUCT(($B$4:$BY$4="Good to have")*(B39:BY39&lt;&gt;"")*(UPPER(TRIM(B39:BY39))&lt;&gt;"TBD"))</f>
        <v>22</v>
      </c>
      <c r="CC39" s="302" cm="1">
        <f t="array" ref="CC39">SUMPRODUCT(($B$4:$BY$4="Good to have")*((B39:BY39="")+(UPPER(TRIM(B39:BY39))="TBD")))</f>
        <v>1</v>
      </c>
      <c r="CD39" s="175" t="str">
        <f t="shared" ref="CD39:CD70" si="1">ROUND(((BZ39+CB39)/(BZ39+CA39+CB39+CC39)) * 100, 2) &amp; "%"</f>
        <v>98.67%</v>
      </c>
      <c r="CF39" s="174" t="s">
        <v>845</v>
      </c>
    </row>
    <row r="40" spans="1:84" ht="18">
      <c r="A40" s="183" t="s">
        <v>377</v>
      </c>
      <c r="B40" s="190">
        <v>5415</v>
      </c>
      <c r="C40" s="191" t="s">
        <v>382</v>
      </c>
      <c r="D40" s="191" t="s">
        <v>383</v>
      </c>
      <c r="E40" s="191" t="s">
        <v>868</v>
      </c>
      <c r="F40" s="191" t="s">
        <v>179</v>
      </c>
      <c r="G40" s="192" t="s">
        <v>681</v>
      </c>
      <c r="H40" s="193" t="s">
        <v>947</v>
      </c>
      <c r="I40" s="193" t="s">
        <v>933</v>
      </c>
      <c r="J40" s="191" t="s">
        <v>948</v>
      </c>
      <c r="K40" s="193" t="s">
        <v>772</v>
      </c>
      <c r="L40" s="17" t="s">
        <v>949</v>
      </c>
      <c r="M40" s="17" t="s">
        <v>221</v>
      </c>
      <c r="N40" s="17" t="s">
        <v>138</v>
      </c>
      <c r="O40" s="17" t="s">
        <v>223</v>
      </c>
      <c r="P40" s="348">
        <v>46310</v>
      </c>
      <c r="Q40" s="191" t="s">
        <v>848</v>
      </c>
      <c r="R40" s="17" t="s">
        <v>950</v>
      </c>
      <c r="S40" s="17" t="s">
        <v>187</v>
      </c>
      <c r="T40" s="17">
        <v>1</v>
      </c>
      <c r="U40" s="307" t="s">
        <v>951</v>
      </c>
      <c r="V40" s="191" t="s">
        <v>952</v>
      </c>
      <c r="W40" s="191" t="s">
        <v>850</v>
      </c>
      <c r="X40" s="193" t="s">
        <v>715</v>
      </c>
      <c r="Y40" s="17" t="s">
        <v>661</v>
      </c>
      <c r="Z40" s="17" t="s">
        <v>662</v>
      </c>
      <c r="AA40" s="17" t="s">
        <v>150</v>
      </c>
      <c r="AB40" s="191" t="s">
        <v>150</v>
      </c>
      <c r="AC40" s="17" t="s">
        <v>663</v>
      </c>
      <c r="AD40" s="17" t="s">
        <v>664</v>
      </c>
      <c r="AE40" s="191" t="s">
        <v>150</v>
      </c>
      <c r="AF40" s="17" t="s">
        <v>150</v>
      </c>
      <c r="AG40" s="17" t="s">
        <v>150</v>
      </c>
      <c r="AH40" s="193" t="s">
        <v>953</v>
      </c>
      <c r="AI40" s="193">
        <v>2</v>
      </c>
      <c r="AJ40" s="193" t="s">
        <v>954</v>
      </c>
      <c r="AK40" s="193" t="s">
        <v>955</v>
      </c>
      <c r="AL40" s="193">
        <v>2</v>
      </c>
      <c r="AM40" s="193" t="s">
        <v>956</v>
      </c>
      <c r="AN40" s="193" t="s">
        <v>863</v>
      </c>
      <c r="AO40" s="193" t="s">
        <v>957</v>
      </c>
      <c r="AP40" s="193">
        <v>0</v>
      </c>
      <c r="AQ40" s="17" t="s">
        <v>945</v>
      </c>
      <c r="AR40" s="191" t="s">
        <v>385</v>
      </c>
      <c r="AS40" s="191" t="s">
        <v>386</v>
      </c>
      <c r="AT40" s="17" t="s">
        <v>150</v>
      </c>
      <c r="AU40" s="193" t="s">
        <v>387</v>
      </c>
      <c r="AV40" s="17" t="s">
        <v>199</v>
      </c>
      <c r="AW40" s="17" t="s">
        <v>150</v>
      </c>
      <c r="AX40" s="193" t="s">
        <v>160</v>
      </c>
      <c r="AY40" s="312" t="s">
        <v>834</v>
      </c>
      <c r="AZ40" s="312" t="s">
        <v>834</v>
      </c>
      <c r="BA40" s="17" t="s">
        <v>752</v>
      </c>
      <c r="BB40" s="17" t="s">
        <v>201</v>
      </c>
      <c r="BC40" s="17" t="s">
        <v>836</v>
      </c>
      <c r="BD40" s="191">
        <v>20</v>
      </c>
      <c r="BE40" s="191">
        <v>0</v>
      </c>
      <c r="BF40" s="17" t="s">
        <v>837</v>
      </c>
      <c r="BG40" s="17" t="s">
        <v>150</v>
      </c>
      <c r="BH40" s="17" t="s">
        <v>168</v>
      </c>
      <c r="BI40" s="17" t="s">
        <v>204</v>
      </c>
      <c r="BJ40" s="17" t="s">
        <v>171</v>
      </c>
      <c r="BK40" s="17">
        <v>2</v>
      </c>
      <c r="BL40" s="191" t="s">
        <v>171</v>
      </c>
      <c r="BM40" s="17">
        <v>4</v>
      </c>
      <c r="BN40" s="17">
        <v>2</v>
      </c>
      <c r="BO40" s="191">
        <v>0</v>
      </c>
      <c r="BP40" s="191" t="s">
        <v>216</v>
      </c>
      <c r="BQ40" s="191" t="s">
        <v>216</v>
      </c>
      <c r="BR40" s="191" t="s">
        <v>958</v>
      </c>
      <c r="BS40" s="191" t="s">
        <v>215</v>
      </c>
      <c r="BT40" s="191" t="s">
        <v>382</v>
      </c>
      <c r="BU40" s="191" t="s">
        <v>933</v>
      </c>
      <c r="BV40" s="191" t="s">
        <v>959</v>
      </c>
      <c r="BW40" s="191" t="s">
        <v>842</v>
      </c>
      <c r="BX40" s="191" t="s">
        <v>843</v>
      </c>
      <c r="BY40" s="191" t="s">
        <v>844</v>
      </c>
      <c r="BZ40" s="302" cm="1">
        <f t="array" ref="BZ40">SUMPRODUCT(($B$4:$BY$4="Must have")*(B40:BY40&lt;&gt;"")*(UPPER(TRIM(B40:BY40))&lt;&gt;"TBD"))</f>
        <v>52</v>
      </c>
      <c r="CA40" s="302" cm="1">
        <f t="array" ref="CA40">SUMPRODUCT(($B$4:$BY$4="Must have")*((B40:BY40="")+(UPPER(TRIM(B40:BY40))="TBD")))</f>
        <v>0</v>
      </c>
      <c r="CB40" s="302" cm="1">
        <f t="array" ref="CB40">SUMPRODUCT(($B$4:$BY$4="Good to have")*(B40:BY40&lt;&gt;"")*(UPPER(TRIM(B40:BY40))&lt;&gt;"TBD"))</f>
        <v>22</v>
      </c>
      <c r="CC40" s="302" cm="1">
        <f t="array" ref="CC40">SUMPRODUCT(($B$4:$BY$4="Good to have")*((B40:BY40="")+(UPPER(TRIM(B40:BY40))="TBD")))</f>
        <v>1</v>
      </c>
      <c r="CD40" s="175" t="str">
        <f t="shared" si="1"/>
        <v>98.67%</v>
      </c>
      <c r="CF40" s="174" t="s">
        <v>845</v>
      </c>
    </row>
    <row r="41" spans="1:84" ht="18">
      <c r="A41" s="183" t="s">
        <v>381</v>
      </c>
      <c r="B41" s="190">
        <v>5426</v>
      </c>
      <c r="C41" s="191" t="s">
        <v>389</v>
      </c>
      <c r="D41" s="191" t="s">
        <v>390</v>
      </c>
      <c r="E41" s="191" t="s">
        <v>818</v>
      </c>
      <c r="F41" s="191" t="s">
        <v>179</v>
      </c>
      <c r="G41" s="192" t="s">
        <v>681</v>
      </c>
      <c r="H41" s="193" t="s">
        <v>960</v>
      </c>
      <c r="I41" s="193" t="s">
        <v>933</v>
      </c>
      <c r="J41" s="191" t="s">
        <v>961</v>
      </c>
      <c r="K41" s="193" t="s">
        <v>772</v>
      </c>
      <c r="L41" s="17" t="s">
        <v>906</v>
      </c>
      <c r="M41" s="17" t="s">
        <v>438</v>
      </c>
      <c r="N41" s="17" t="s">
        <v>150</v>
      </c>
      <c r="O41" s="17" t="s">
        <v>223</v>
      </c>
      <c r="P41" s="348">
        <v>46507</v>
      </c>
      <c r="Q41" s="191" t="s">
        <v>848</v>
      </c>
      <c r="R41" s="17" t="s">
        <v>962</v>
      </c>
      <c r="S41" s="17" t="s">
        <v>188</v>
      </c>
      <c r="T41" s="17">
        <v>1</v>
      </c>
      <c r="U41" s="17" t="s">
        <v>963</v>
      </c>
      <c r="V41" s="191" t="s">
        <v>964</v>
      </c>
      <c r="W41" s="191" t="s">
        <v>850</v>
      </c>
      <c r="X41" s="193" t="s">
        <v>715</v>
      </c>
      <c r="Y41" s="17" t="s">
        <v>190</v>
      </c>
      <c r="Z41" s="17" t="s">
        <v>662</v>
      </c>
      <c r="AA41" s="17" t="s">
        <v>150</v>
      </c>
      <c r="AB41" s="191" t="s">
        <v>150</v>
      </c>
      <c r="AC41" s="17" t="s">
        <v>663</v>
      </c>
      <c r="AD41" s="17" t="s">
        <v>664</v>
      </c>
      <c r="AE41" s="191" t="s">
        <v>138</v>
      </c>
      <c r="AF41" s="17" t="s">
        <v>150</v>
      </c>
      <c r="AG41" s="17" t="s">
        <v>150</v>
      </c>
      <c r="AH41" s="193" t="s">
        <v>965</v>
      </c>
      <c r="AI41" s="193">
        <v>4</v>
      </c>
      <c r="AJ41" s="193"/>
      <c r="AK41" s="193" t="s">
        <v>966</v>
      </c>
      <c r="AL41" s="193">
        <v>3</v>
      </c>
      <c r="AM41" s="193" t="s">
        <v>916</v>
      </c>
      <c r="AN41" s="193" t="s">
        <v>967</v>
      </c>
      <c r="AO41" s="193" t="s">
        <v>968</v>
      </c>
      <c r="AP41" s="193">
        <v>0</v>
      </c>
      <c r="AQ41" s="17" t="s">
        <v>945</v>
      </c>
      <c r="AR41" s="191" t="s">
        <v>392</v>
      </c>
      <c r="AS41" s="191" t="s">
        <v>393</v>
      </c>
      <c r="AT41" s="17" t="s">
        <v>150</v>
      </c>
      <c r="AU41" s="193" t="s">
        <v>216</v>
      </c>
      <c r="AV41" s="17" t="s">
        <v>199</v>
      </c>
      <c r="AW41" s="17" t="s">
        <v>150</v>
      </c>
      <c r="AX41" s="193" t="s">
        <v>217</v>
      </c>
      <c r="AY41" s="17" t="s">
        <v>216</v>
      </c>
      <c r="AZ41" s="17" t="s">
        <v>216</v>
      </c>
      <c r="BA41" s="17" t="s">
        <v>752</v>
      </c>
      <c r="BB41" s="17" t="s">
        <v>201</v>
      </c>
      <c r="BC41" s="17" t="s">
        <v>836</v>
      </c>
      <c r="BD41" s="191">
        <v>0</v>
      </c>
      <c r="BE41" s="191">
        <v>0</v>
      </c>
      <c r="BF41" s="17" t="s">
        <v>837</v>
      </c>
      <c r="BG41" s="17" t="s">
        <v>150</v>
      </c>
      <c r="BH41" s="17" t="s">
        <v>168</v>
      </c>
      <c r="BI41" s="17" t="s">
        <v>169</v>
      </c>
      <c r="BJ41" s="17" t="s">
        <v>171</v>
      </c>
      <c r="BK41" s="17">
        <v>1</v>
      </c>
      <c r="BL41" s="191" t="s">
        <v>170</v>
      </c>
      <c r="BM41" s="17">
        <v>1</v>
      </c>
      <c r="BN41" s="17">
        <v>2</v>
      </c>
      <c r="BO41" s="191">
        <v>47</v>
      </c>
      <c r="BP41" s="307" t="s">
        <v>969</v>
      </c>
      <c r="BQ41" s="191" t="s">
        <v>216</v>
      </c>
      <c r="BR41" s="191" t="s">
        <v>216</v>
      </c>
      <c r="BS41" s="191" t="s">
        <v>215</v>
      </c>
      <c r="BT41" s="191" t="s">
        <v>839</v>
      </c>
      <c r="BU41" s="191" t="s">
        <v>933</v>
      </c>
      <c r="BV41" s="191" t="s">
        <v>970</v>
      </c>
      <c r="BW41" s="191" t="s">
        <v>216</v>
      </c>
      <c r="BX41" s="191" t="s">
        <v>776</v>
      </c>
      <c r="BY41" s="191" t="s">
        <v>776</v>
      </c>
      <c r="BZ41" s="302" cm="1">
        <f t="array" ref="BZ41">SUMPRODUCT(($B$4:$BY$4="Must have")*(B41:BY41&lt;&gt;"")*(UPPER(TRIM(B41:BY41))&lt;&gt;"TBD"))</f>
        <v>51</v>
      </c>
      <c r="CA41" s="302" cm="1">
        <f t="array" ref="CA41">SUMPRODUCT(($B$4:$BY$4="Must have")*((B41:BY41="")+(UPPER(TRIM(B41:BY41))="TBD")))</f>
        <v>1</v>
      </c>
      <c r="CB41" s="302" cm="1">
        <f t="array" ref="CB41">SUMPRODUCT(($B$4:$BY$4="Good to have")*(B41:BY41&lt;&gt;"")*(UPPER(TRIM(B41:BY41))&lt;&gt;"TBD"))</f>
        <v>22</v>
      </c>
      <c r="CC41" s="302" cm="1">
        <f t="array" ref="CC41">SUMPRODUCT(($B$4:$BY$4="Good to have")*((B41:BY41="")+(UPPER(TRIM(B41:BY41))="TBD")))</f>
        <v>1</v>
      </c>
      <c r="CD41" s="175" t="str">
        <f t="shared" si="1"/>
        <v>97.33%</v>
      </c>
      <c r="CF41" s="174" t="s">
        <v>845</v>
      </c>
    </row>
    <row r="42" spans="1:84" ht="18">
      <c r="A42" s="183" t="s">
        <v>388</v>
      </c>
      <c r="B42" s="190">
        <v>5427</v>
      </c>
      <c r="C42" s="191" t="s">
        <v>395</v>
      </c>
      <c r="D42" s="191" t="s">
        <v>396</v>
      </c>
      <c r="E42" s="191" t="s">
        <v>868</v>
      </c>
      <c r="F42" s="191" t="s">
        <v>179</v>
      </c>
      <c r="G42" s="192" t="s">
        <v>681</v>
      </c>
      <c r="H42" s="193" t="s">
        <v>971</v>
      </c>
      <c r="I42" s="193" t="s">
        <v>972</v>
      </c>
      <c r="J42" s="191" t="s">
        <v>948</v>
      </c>
      <c r="K42" s="193" t="s">
        <v>182</v>
      </c>
      <c r="L42" s="17" t="s">
        <v>655</v>
      </c>
      <c r="M42" s="17" t="s">
        <v>973</v>
      </c>
      <c r="N42" s="17" t="s">
        <v>138</v>
      </c>
      <c r="O42" s="17" t="s">
        <v>223</v>
      </c>
      <c r="P42" s="348">
        <v>46266</v>
      </c>
      <c r="Q42" s="191" t="s">
        <v>848</v>
      </c>
      <c r="R42" s="17" t="s">
        <v>342</v>
      </c>
      <c r="S42" s="17" t="s">
        <v>188</v>
      </c>
      <c r="T42" s="17">
        <v>1</v>
      </c>
      <c r="U42" s="17" t="s">
        <v>138</v>
      </c>
      <c r="V42" s="191" t="s">
        <v>974</v>
      </c>
      <c r="W42" s="191" t="s">
        <v>850</v>
      </c>
      <c r="X42" s="193" t="s">
        <v>715</v>
      </c>
      <c r="Y42" s="17" t="s">
        <v>190</v>
      </c>
      <c r="Z42" s="17" t="s">
        <v>662</v>
      </c>
      <c r="AA42" s="17" t="s">
        <v>150</v>
      </c>
      <c r="AB42" s="191" t="s">
        <v>150</v>
      </c>
      <c r="AC42" s="17" t="s">
        <v>188</v>
      </c>
      <c r="AD42" s="17" t="s">
        <v>191</v>
      </c>
      <c r="AE42" s="191" t="s">
        <v>398</v>
      </c>
      <c r="AF42" s="17" t="s">
        <v>150</v>
      </c>
      <c r="AG42" s="17" t="s">
        <v>150</v>
      </c>
      <c r="AH42" s="193" t="s">
        <v>975</v>
      </c>
      <c r="AI42" s="193">
        <v>10</v>
      </c>
      <c r="AJ42" s="193" t="s">
        <v>916</v>
      </c>
      <c r="AK42" s="193" t="s">
        <v>173</v>
      </c>
      <c r="AL42" s="193" t="s">
        <v>173</v>
      </c>
      <c r="AM42" s="193" t="s">
        <v>173</v>
      </c>
      <c r="AN42" s="193" t="s">
        <v>976</v>
      </c>
      <c r="AO42" s="193" t="s">
        <v>977</v>
      </c>
      <c r="AP42" s="193" t="s">
        <v>978</v>
      </c>
      <c r="AQ42" s="17" t="s">
        <v>902</v>
      </c>
      <c r="AR42" s="191" t="s">
        <v>397</v>
      </c>
      <c r="AS42" s="191" t="s">
        <v>399</v>
      </c>
      <c r="AT42" s="17" t="s">
        <v>150</v>
      </c>
      <c r="AU42" s="193" t="s">
        <v>216</v>
      </c>
      <c r="AV42" s="17" t="s">
        <v>199</v>
      </c>
      <c r="AW42" s="17" t="s">
        <v>150</v>
      </c>
      <c r="AX42" s="193" t="s">
        <v>217</v>
      </c>
      <c r="AY42" s="17" t="s">
        <v>173</v>
      </c>
      <c r="AZ42" s="17" t="s">
        <v>173</v>
      </c>
      <c r="BA42" s="17" t="s">
        <v>752</v>
      </c>
      <c r="BB42" s="17" t="s">
        <v>674</v>
      </c>
      <c r="BC42" s="17" t="s">
        <v>836</v>
      </c>
      <c r="BD42" s="191">
        <v>20</v>
      </c>
      <c r="BE42" s="191">
        <v>0</v>
      </c>
      <c r="BF42" s="17" t="s">
        <v>979</v>
      </c>
      <c r="BG42" s="17" t="s">
        <v>138</v>
      </c>
      <c r="BH42" s="17" t="s">
        <v>203</v>
      </c>
      <c r="BI42" s="17" t="s">
        <v>204</v>
      </c>
      <c r="BJ42" s="17" t="s">
        <v>170</v>
      </c>
      <c r="BK42" s="17">
        <v>2</v>
      </c>
      <c r="BL42" s="191" t="s">
        <v>980</v>
      </c>
      <c r="BM42" s="17">
        <v>2</v>
      </c>
      <c r="BN42" s="17">
        <v>2</v>
      </c>
      <c r="BO42" s="191">
        <v>20</v>
      </c>
      <c r="BP42" s="191" t="s">
        <v>981</v>
      </c>
      <c r="BQ42" s="191" t="s">
        <v>982</v>
      </c>
      <c r="BR42" s="191" t="s">
        <v>173</v>
      </c>
      <c r="BS42" s="191" t="s">
        <v>983</v>
      </c>
      <c r="BT42" s="191" t="s">
        <v>984</v>
      </c>
      <c r="BU42" s="191" t="s">
        <v>985</v>
      </c>
      <c r="BV42" s="191" t="s">
        <v>986</v>
      </c>
      <c r="BW42" s="191" t="s">
        <v>216</v>
      </c>
      <c r="BX42" s="191" t="s">
        <v>776</v>
      </c>
      <c r="BY42" s="191" t="s">
        <v>776</v>
      </c>
      <c r="BZ42" s="302" cm="1">
        <f t="array" ref="BZ42">SUMPRODUCT(($B$4:$BY$4="Must have")*(B42:BY42&lt;&gt;"")*(UPPER(TRIM(B42:BY42))&lt;&gt;"TBD"))</f>
        <v>52</v>
      </c>
      <c r="CA42" s="302" cm="1">
        <f t="array" ref="CA42">SUMPRODUCT(($B$4:$BY$4="Must have")*((B42:BY42="")+(UPPER(TRIM(B42:BY42))="TBD")))</f>
        <v>0</v>
      </c>
      <c r="CB42" s="302" cm="1">
        <f t="array" ref="CB42">SUMPRODUCT(($B$4:$BY$4="Good to have")*(B42:BY42&lt;&gt;"")*(UPPER(TRIM(B42:BY42))&lt;&gt;"TBD"))</f>
        <v>23</v>
      </c>
      <c r="CC42" s="302" cm="1">
        <f t="array" ref="CC42">SUMPRODUCT(($B$4:$BY$4="Good to have")*((B42:BY42="")+(UPPER(TRIM(B42:BY42))="TBD")))</f>
        <v>0</v>
      </c>
      <c r="CD42" s="175" t="str">
        <f t="shared" si="1"/>
        <v>100%</v>
      </c>
      <c r="CF42" s="174" t="s">
        <v>845</v>
      </c>
    </row>
    <row r="43" spans="1:84" ht="18">
      <c r="A43" s="183" t="s">
        <v>394</v>
      </c>
      <c r="B43" s="190">
        <v>5442</v>
      </c>
      <c r="C43" s="191" t="s">
        <v>401</v>
      </c>
      <c r="D43" s="191" t="s">
        <v>402</v>
      </c>
      <c r="E43" s="191" t="s">
        <v>987</v>
      </c>
      <c r="F43" s="191" t="s">
        <v>179</v>
      </c>
      <c r="G43" s="192" t="s">
        <v>681</v>
      </c>
      <c r="H43" s="193" t="s">
        <v>988</v>
      </c>
      <c r="I43" s="193" t="s">
        <v>933</v>
      </c>
      <c r="J43" s="191" t="s">
        <v>948</v>
      </c>
      <c r="K43" s="193" t="s">
        <v>182</v>
      </c>
      <c r="L43" s="17" t="s">
        <v>949</v>
      </c>
      <c r="M43" s="17" t="s">
        <v>989</v>
      </c>
      <c r="N43" s="17" t="s">
        <v>138</v>
      </c>
      <c r="O43" s="17" t="s">
        <v>223</v>
      </c>
      <c r="P43" s="348">
        <v>46583</v>
      </c>
      <c r="Q43" s="191" t="s">
        <v>848</v>
      </c>
      <c r="R43" s="17" t="s">
        <v>404</v>
      </c>
      <c r="S43" s="17" t="s">
        <v>142</v>
      </c>
      <c r="T43" s="17">
        <v>1</v>
      </c>
      <c r="U43" s="307" t="s">
        <v>951</v>
      </c>
      <c r="V43" s="191" t="s">
        <v>990</v>
      </c>
      <c r="W43" s="191" t="s">
        <v>850</v>
      </c>
      <c r="X43" s="193" t="s">
        <v>715</v>
      </c>
      <c r="Y43" s="17" t="s">
        <v>661</v>
      </c>
      <c r="Z43" s="17" t="s">
        <v>823</v>
      </c>
      <c r="AA43" s="17" t="s">
        <v>150</v>
      </c>
      <c r="AB43" s="191" t="s">
        <v>150</v>
      </c>
      <c r="AC43" s="17" t="s">
        <v>187</v>
      </c>
      <c r="AD43" s="17" t="s">
        <v>191</v>
      </c>
      <c r="AE43" s="191" t="s">
        <v>138</v>
      </c>
      <c r="AF43" s="17" t="s">
        <v>150</v>
      </c>
      <c r="AG43" s="17" t="s">
        <v>150</v>
      </c>
      <c r="AH43" s="193" t="s">
        <v>991</v>
      </c>
      <c r="AI43" s="193">
        <v>135</v>
      </c>
      <c r="AJ43" s="193" t="s">
        <v>992</v>
      </c>
      <c r="AK43" s="193" t="s">
        <v>993</v>
      </c>
      <c r="AL43" s="193">
        <v>1</v>
      </c>
      <c r="AM43" s="193" t="s">
        <v>994</v>
      </c>
      <c r="AN43" s="193" t="s">
        <v>995</v>
      </c>
      <c r="AO43" s="193" t="s">
        <v>996</v>
      </c>
      <c r="AP43" s="193">
        <v>0</v>
      </c>
      <c r="AQ43" s="17" t="s">
        <v>945</v>
      </c>
      <c r="AR43" s="191" t="s">
        <v>405</v>
      </c>
      <c r="AS43" s="191" t="s">
        <v>406</v>
      </c>
      <c r="AT43" s="17" t="s">
        <v>138</v>
      </c>
      <c r="AU43" s="193" t="s">
        <v>997</v>
      </c>
      <c r="AV43" s="17" t="s">
        <v>199</v>
      </c>
      <c r="AW43" s="17" t="s">
        <v>150</v>
      </c>
      <c r="AX43" s="193" t="s">
        <v>217</v>
      </c>
      <c r="AY43" s="312" t="s">
        <v>834</v>
      </c>
      <c r="AZ43" s="312" t="s">
        <v>834</v>
      </c>
      <c r="BA43" s="17" t="s">
        <v>752</v>
      </c>
      <c r="BB43" s="17" t="s">
        <v>201</v>
      </c>
      <c r="BC43" s="17" t="s">
        <v>836</v>
      </c>
      <c r="BD43" s="191">
        <v>2588</v>
      </c>
      <c r="BE43" s="191">
        <v>0</v>
      </c>
      <c r="BF43" s="17" t="s">
        <v>837</v>
      </c>
      <c r="BG43" s="17" t="s">
        <v>150</v>
      </c>
      <c r="BH43" s="17" t="s">
        <v>168</v>
      </c>
      <c r="BI43" s="17" t="s">
        <v>204</v>
      </c>
      <c r="BJ43" s="17" t="s">
        <v>171</v>
      </c>
      <c r="BK43" s="17">
        <v>2</v>
      </c>
      <c r="BL43" s="191" t="s">
        <v>171</v>
      </c>
      <c r="BM43" s="17">
        <v>16</v>
      </c>
      <c r="BN43" s="17">
        <v>4</v>
      </c>
      <c r="BO43" s="191">
        <v>0</v>
      </c>
      <c r="BP43" s="191" t="s">
        <v>216</v>
      </c>
      <c r="BQ43" s="191" t="s">
        <v>216</v>
      </c>
      <c r="BR43" s="191" t="s">
        <v>216</v>
      </c>
      <c r="BS43" s="191" t="s">
        <v>215</v>
      </c>
      <c r="BT43" s="191" t="s">
        <v>998</v>
      </c>
      <c r="BU43" s="191" t="s">
        <v>933</v>
      </c>
      <c r="BV43" s="191" t="s">
        <v>999</v>
      </c>
      <c r="BW43" s="191" t="s">
        <v>216</v>
      </c>
      <c r="BX43" s="191" t="s">
        <v>776</v>
      </c>
      <c r="BY43" s="191" t="s">
        <v>776</v>
      </c>
      <c r="BZ43" s="302" cm="1">
        <f t="array" ref="BZ43">SUMPRODUCT(($B$4:$BY$4="Must have")*(B43:BY43&lt;&gt;"")*(UPPER(TRIM(B43:BY43))&lt;&gt;"TBD"))</f>
        <v>52</v>
      </c>
      <c r="CA43" s="302" cm="1">
        <f t="array" ref="CA43">SUMPRODUCT(($B$4:$BY$4="Must have")*((B43:BY43="")+(UPPER(TRIM(B43:BY43))="TBD")))</f>
        <v>0</v>
      </c>
      <c r="CB43" s="302" cm="1">
        <f t="array" ref="CB43">SUMPRODUCT(($B$4:$BY$4="Good to have")*(B43:BY43&lt;&gt;"")*(UPPER(TRIM(B43:BY43))&lt;&gt;"TBD"))</f>
        <v>22</v>
      </c>
      <c r="CC43" s="302" cm="1">
        <f t="array" ref="CC43">SUMPRODUCT(($B$4:$BY$4="Good to have")*((B43:BY43="")+(UPPER(TRIM(B43:BY43))="TBD")))</f>
        <v>1</v>
      </c>
      <c r="CD43" s="175" t="str">
        <f t="shared" si="1"/>
        <v>98.67%</v>
      </c>
      <c r="CF43" s="174" t="s">
        <v>845</v>
      </c>
    </row>
    <row r="44" spans="1:84" ht="18">
      <c r="A44" s="183" t="s">
        <v>400</v>
      </c>
      <c r="B44" s="190">
        <v>5444</v>
      </c>
      <c r="C44" s="191" t="s">
        <v>408</v>
      </c>
      <c r="D44" s="191" t="s">
        <v>409</v>
      </c>
      <c r="E44" s="191" t="s">
        <v>1000</v>
      </c>
      <c r="F44" s="191" t="s">
        <v>179</v>
      </c>
      <c r="G44" s="192" t="s">
        <v>681</v>
      </c>
      <c r="H44" s="193" t="s">
        <v>1001</v>
      </c>
      <c r="I44" s="310" t="s">
        <v>1002</v>
      </c>
      <c r="J44" s="191" t="s">
        <v>948</v>
      </c>
      <c r="K44" s="193" t="s">
        <v>772</v>
      </c>
      <c r="L44" s="17" t="s">
        <v>949</v>
      </c>
      <c r="M44" s="17" t="s">
        <v>216</v>
      </c>
      <c r="N44" s="17" t="s">
        <v>1003</v>
      </c>
      <c r="O44" s="17" t="s">
        <v>223</v>
      </c>
      <c r="P44" s="348">
        <v>46569</v>
      </c>
      <c r="Q44" s="191" t="s">
        <v>848</v>
      </c>
      <c r="R44" s="17" t="s">
        <v>1004</v>
      </c>
      <c r="S44" s="17" t="s">
        <v>187</v>
      </c>
      <c r="T44" s="17">
        <v>2</v>
      </c>
      <c r="U44" s="17" t="s">
        <v>189</v>
      </c>
      <c r="V44" s="191" t="s">
        <v>1005</v>
      </c>
      <c r="W44" s="191" t="s">
        <v>850</v>
      </c>
      <c r="X44" s="193" t="s">
        <v>715</v>
      </c>
      <c r="Y44" s="17" t="s">
        <v>661</v>
      </c>
      <c r="Z44" s="17" t="s">
        <v>823</v>
      </c>
      <c r="AA44" s="17" t="s">
        <v>150</v>
      </c>
      <c r="AB44" s="191" t="s">
        <v>150</v>
      </c>
      <c r="AC44" s="17" t="s">
        <v>187</v>
      </c>
      <c r="AD44" s="17" t="s">
        <v>664</v>
      </c>
      <c r="AE44" s="191" t="s">
        <v>138</v>
      </c>
      <c r="AF44" s="17" t="s">
        <v>138</v>
      </c>
      <c r="AG44" s="17" t="s">
        <v>150</v>
      </c>
      <c r="AH44" s="193" t="s">
        <v>1006</v>
      </c>
      <c r="AI44" s="223">
        <v>100</v>
      </c>
      <c r="AJ44" s="193" t="s">
        <v>1007</v>
      </c>
      <c r="AK44" s="193" t="s">
        <v>1008</v>
      </c>
      <c r="AL44" s="223">
        <v>100</v>
      </c>
      <c r="AM44" s="193" t="s">
        <v>1009</v>
      </c>
      <c r="AN44" s="193" t="s">
        <v>1010</v>
      </c>
      <c r="AO44" s="193" t="s">
        <v>1011</v>
      </c>
      <c r="AP44" s="193">
        <v>0</v>
      </c>
      <c r="AQ44" s="17" t="s">
        <v>156</v>
      </c>
      <c r="AR44" s="191" t="s">
        <v>410</v>
      </c>
      <c r="AS44" s="191" t="s">
        <v>411</v>
      </c>
      <c r="AT44" s="17" t="s">
        <v>150</v>
      </c>
      <c r="AU44" s="193" t="s">
        <v>216</v>
      </c>
      <c r="AV44" s="17" t="s">
        <v>199</v>
      </c>
      <c r="AW44" s="17" t="s">
        <v>150</v>
      </c>
      <c r="AX44" s="193" t="s">
        <v>217</v>
      </c>
      <c r="AY44" s="17" t="s">
        <v>173</v>
      </c>
      <c r="AZ44" s="17" t="s">
        <v>173</v>
      </c>
      <c r="BA44" s="17" t="s">
        <v>752</v>
      </c>
      <c r="BB44" s="17" t="s">
        <v>674</v>
      </c>
      <c r="BC44" s="17" t="s">
        <v>836</v>
      </c>
      <c r="BD44" s="191">
        <v>3</v>
      </c>
      <c r="BE44" s="191">
        <v>0</v>
      </c>
      <c r="BF44" s="17" t="s">
        <v>837</v>
      </c>
      <c r="BG44" s="17" t="s">
        <v>150</v>
      </c>
      <c r="BH44" s="17" t="s">
        <v>168</v>
      </c>
      <c r="BI44" s="17" t="s">
        <v>204</v>
      </c>
      <c r="BJ44" s="17" t="s">
        <v>170</v>
      </c>
      <c r="BK44" s="17">
        <v>2</v>
      </c>
      <c r="BL44" s="191" t="s">
        <v>170</v>
      </c>
      <c r="BM44" s="17">
        <v>3</v>
      </c>
      <c r="BN44" s="17">
        <v>1</v>
      </c>
      <c r="BO44" s="191">
        <v>1</v>
      </c>
      <c r="BP44" s="191" t="s">
        <v>1012</v>
      </c>
      <c r="BQ44" s="191" t="s">
        <v>1013</v>
      </c>
      <c r="BR44" s="191" t="s">
        <v>1013</v>
      </c>
      <c r="BS44" s="191"/>
      <c r="BT44" s="191" t="s">
        <v>1012</v>
      </c>
      <c r="BU44" s="191"/>
      <c r="BV44" s="191" t="s">
        <v>1014</v>
      </c>
      <c r="BW44" s="191" t="s">
        <v>216</v>
      </c>
      <c r="BX44" s="191" t="s">
        <v>776</v>
      </c>
      <c r="BY44" s="191" t="s">
        <v>776</v>
      </c>
      <c r="BZ44" s="302" cm="1">
        <f t="array" ref="BZ44">SUMPRODUCT(($B$4:$BY$4="Must have")*(B44:BY44&lt;&gt;"")*(UPPER(TRIM(B44:BY44))&lt;&gt;"TBD"))</f>
        <v>52</v>
      </c>
      <c r="CA44" s="302" cm="1">
        <f t="array" ref="CA44">SUMPRODUCT(($B$4:$BY$4="Must have")*((B44:BY44="")+(UPPER(TRIM(B44:BY44))="TBD")))</f>
        <v>0</v>
      </c>
      <c r="CB44" s="302" cm="1">
        <f t="array" ref="CB44">SUMPRODUCT(($B$4:$BY$4="Good to have")*(B44:BY44&lt;&gt;"")*(UPPER(TRIM(B44:BY44))&lt;&gt;"TBD"))</f>
        <v>21</v>
      </c>
      <c r="CC44" s="302" cm="1">
        <f t="array" ref="CC44">SUMPRODUCT(($B$4:$BY$4="Good to have")*((B44:BY44="")+(UPPER(TRIM(B44:BY44))="TBD")))</f>
        <v>2</v>
      </c>
      <c r="CD44" s="175" t="str">
        <f t="shared" si="1"/>
        <v>97.33%</v>
      </c>
      <c r="CF44" s="174" t="s">
        <v>845</v>
      </c>
    </row>
    <row r="45" spans="1:84" ht="45.6" customHeight="1">
      <c r="A45" s="183" t="s">
        <v>407</v>
      </c>
      <c r="B45" s="190">
        <v>5454</v>
      </c>
      <c r="C45" s="191" t="s">
        <v>413</v>
      </c>
      <c r="D45" s="191" t="s">
        <v>414</v>
      </c>
      <c r="E45" s="191" t="s">
        <v>868</v>
      </c>
      <c r="F45" s="191" t="s">
        <v>179</v>
      </c>
      <c r="G45" s="192" t="s">
        <v>681</v>
      </c>
      <c r="H45" s="193" t="s">
        <v>919</v>
      </c>
      <c r="I45" s="193" t="s">
        <v>439</v>
      </c>
      <c r="J45" s="191" t="s">
        <v>654</v>
      </c>
      <c r="K45" s="193" t="s">
        <v>182</v>
      </c>
      <c r="L45" s="17" t="s">
        <v>1015</v>
      </c>
      <c r="M45" s="17" t="s">
        <v>816</v>
      </c>
      <c r="N45" s="17" t="s">
        <v>138</v>
      </c>
      <c r="O45" s="17" t="s">
        <v>212</v>
      </c>
      <c r="P45" s="348">
        <v>46387</v>
      </c>
      <c r="Q45" s="191" t="s">
        <v>848</v>
      </c>
      <c r="R45" s="17" t="s">
        <v>1016</v>
      </c>
      <c r="S45" s="17" t="s">
        <v>663</v>
      </c>
      <c r="T45" s="17">
        <v>1</v>
      </c>
      <c r="U45" s="307" t="s">
        <v>189</v>
      </c>
      <c r="V45" s="191" t="s">
        <v>173</v>
      </c>
      <c r="W45" s="191" t="s">
        <v>173</v>
      </c>
      <c r="X45" s="193" t="s">
        <v>715</v>
      </c>
      <c r="Y45" s="17" t="s">
        <v>661</v>
      </c>
      <c r="Z45" s="17" t="s">
        <v>662</v>
      </c>
      <c r="AA45" s="17" t="s">
        <v>150</v>
      </c>
      <c r="AB45" s="191" t="s">
        <v>150</v>
      </c>
      <c r="AC45" s="17" t="s">
        <v>188</v>
      </c>
      <c r="AD45" s="17" t="s">
        <v>664</v>
      </c>
      <c r="AE45" s="191" t="s">
        <v>150</v>
      </c>
      <c r="AF45" s="17" t="s">
        <v>150</v>
      </c>
      <c r="AG45" s="17" t="s">
        <v>150</v>
      </c>
      <c r="AH45" s="193" t="s">
        <v>173</v>
      </c>
      <c r="AI45" s="193" t="s">
        <v>173</v>
      </c>
      <c r="AJ45" s="193" t="s">
        <v>173</v>
      </c>
      <c r="AK45" s="193" t="s">
        <v>378</v>
      </c>
      <c r="AL45" s="193">
        <v>1</v>
      </c>
      <c r="AM45" s="193" t="s">
        <v>916</v>
      </c>
      <c r="AN45" s="193" t="s">
        <v>863</v>
      </c>
      <c r="AO45" s="193" t="s">
        <v>416</v>
      </c>
      <c r="AP45" s="193">
        <v>0</v>
      </c>
      <c r="AQ45" s="17" t="s">
        <v>156</v>
      </c>
      <c r="AR45" s="191" t="s">
        <v>415</v>
      </c>
      <c r="AS45" s="191" t="s">
        <v>416</v>
      </c>
      <c r="AT45" s="17" t="s">
        <v>150</v>
      </c>
      <c r="AU45" s="193" t="s">
        <v>417</v>
      </c>
      <c r="AV45" s="17" t="s">
        <v>199</v>
      </c>
      <c r="AW45" s="17" t="s">
        <v>150</v>
      </c>
      <c r="AX45" s="193" t="s">
        <v>160</v>
      </c>
      <c r="AY45" s="17" t="s">
        <v>173</v>
      </c>
      <c r="AZ45" s="17" t="s">
        <v>173</v>
      </c>
      <c r="BA45" s="17" t="s">
        <v>752</v>
      </c>
      <c r="BB45" s="17" t="s">
        <v>674</v>
      </c>
      <c r="BC45" s="17" t="s">
        <v>836</v>
      </c>
      <c r="BD45" s="191">
        <v>2</v>
      </c>
      <c r="BE45" s="191">
        <v>0</v>
      </c>
      <c r="BF45" s="17" t="s">
        <v>837</v>
      </c>
      <c r="BG45" s="17" t="s">
        <v>150</v>
      </c>
      <c r="BH45" s="17" t="s">
        <v>203</v>
      </c>
      <c r="BI45" s="17" t="s">
        <v>204</v>
      </c>
      <c r="BJ45" s="17" t="s">
        <v>170</v>
      </c>
      <c r="BK45" s="17">
        <v>2</v>
      </c>
      <c r="BL45" s="191" t="s">
        <v>170</v>
      </c>
      <c r="BM45" s="17">
        <v>1</v>
      </c>
      <c r="BN45" s="17">
        <v>1</v>
      </c>
      <c r="BO45" s="191">
        <v>20</v>
      </c>
      <c r="BP45" s="307" t="s">
        <v>924</v>
      </c>
      <c r="BQ45" s="191" t="s">
        <v>173</v>
      </c>
      <c r="BR45" s="191" t="s">
        <v>173</v>
      </c>
      <c r="BS45" s="191"/>
      <c r="BT45" s="191" t="s">
        <v>925</v>
      </c>
      <c r="BU45" s="191" t="s">
        <v>439</v>
      </c>
      <c r="BV45" s="191" t="s">
        <v>1017</v>
      </c>
      <c r="BW45" s="191" t="s">
        <v>842</v>
      </c>
      <c r="BX45" s="191" t="s">
        <v>843</v>
      </c>
      <c r="BY45" s="191" t="s">
        <v>844</v>
      </c>
      <c r="BZ45" s="302" cm="1">
        <f t="array" ref="BZ45">SUMPRODUCT(($B$4:$BY$4="Must have")*(B45:BY45&lt;&gt;"")*(UPPER(TRIM(B45:BY45))&lt;&gt;"TBD"))</f>
        <v>52</v>
      </c>
      <c r="CA45" s="302" cm="1">
        <f t="array" ref="CA45">SUMPRODUCT(($B$4:$BY$4="Must have")*((B45:BY45="")+(UPPER(TRIM(B45:BY45))="TBD")))</f>
        <v>0</v>
      </c>
      <c r="CB45" s="302" cm="1">
        <f t="array" ref="CB45">SUMPRODUCT(($B$4:$BY$4="Good to have")*(B45:BY45&lt;&gt;"")*(UPPER(TRIM(B45:BY45))&lt;&gt;"TBD"))</f>
        <v>22</v>
      </c>
      <c r="CC45" s="302" cm="1">
        <f t="array" ref="CC45">SUMPRODUCT(($B$4:$BY$4="Good to have")*((B45:BY45="")+(UPPER(TRIM(B45:BY45))="TBD")))</f>
        <v>1</v>
      </c>
      <c r="CD45" s="175" t="str">
        <f t="shared" si="1"/>
        <v>98.67%</v>
      </c>
      <c r="CF45" s="174" t="s">
        <v>845</v>
      </c>
    </row>
    <row r="46" spans="1:84" ht="18">
      <c r="A46" s="183" t="s">
        <v>412</v>
      </c>
      <c r="B46" s="190">
        <v>5463</v>
      </c>
      <c r="C46" s="191" t="s">
        <v>419</v>
      </c>
      <c r="D46" s="191" t="s">
        <v>420</v>
      </c>
      <c r="E46" s="174" t="s">
        <v>868</v>
      </c>
      <c r="F46" s="191" t="s">
        <v>179</v>
      </c>
      <c r="G46" s="192" t="s">
        <v>681</v>
      </c>
      <c r="H46" s="193" t="s">
        <v>805</v>
      </c>
      <c r="I46" s="310" t="s">
        <v>1018</v>
      </c>
      <c r="J46" s="191" t="s">
        <v>654</v>
      </c>
      <c r="K46" s="193" t="s">
        <v>182</v>
      </c>
      <c r="L46" s="17" t="s">
        <v>655</v>
      </c>
      <c r="M46" s="17" t="s">
        <v>816</v>
      </c>
      <c r="N46" s="17" t="s">
        <v>138</v>
      </c>
      <c r="O46" s="17" t="s">
        <v>223</v>
      </c>
      <c r="P46" s="348">
        <v>46233</v>
      </c>
      <c r="Q46" s="191" t="s">
        <v>848</v>
      </c>
      <c r="R46" s="17" t="s">
        <v>1019</v>
      </c>
      <c r="S46" s="17" t="s">
        <v>142</v>
      </c>
      <c r="T46" s="17">
        <v>1</v>
      </c>
      <c r="U46" s="17" t="s">
        <v>1020</v>
      </c>
      <c r="V46" s="191" t="s">
        <v>216</v>
      </c>
      <c r="W46" s="191" t="s">
        <v>850</v>
      </c>
      <c r="X46" s="193" t="s">
        <v>715</v>
      </c>
      <c r="Y46" s="17" t="s">
        <v>190</v>
      </c>
      <c r="Z46" s="17" t="s">
        <v>662</v>
      </c>
      <c r="AA46" s="17" t="s">
        <v>150</v>
      </c>
      <c r="AB46" s="191" t="s">
        <v>150</v>
      </c>
      <c r="AC46" s="17" t="s">
        <v>187</v>
      </c>
      <c r="AD46" s="17" t="s">
        <v>664</v>
      </c>
      <c r="AE46" s="191" t="s">
        <v>150</v>
      </c>
      <c r="AF46" s="17" t="s">
        <v>138</v>
      </c>
      <c r="AG46" s="17" t="s">
        <v>150</v>
      </c>
      <c r="AH46" s="193" t="s">
        <v>1021</v>
      </c>
      <c r="AI46" s="193">
        <v>12</v>
      </c>
      <c r="AJ46" s="193" t="s">
        <v>1022</v>
      </c>
      <c r="AK46" s="193" t="s">
        <v>1023</v>
      </c>
      <c r="AL46" s="193">
        <v>2</v>
      </c>
      <c r="AM46" s="193" t="s">
        <v>1024</v>
      </c>
      <c r="AN46" s="193" t="s">
        <v>863</v>
      </c>
      <c r="AO46" s="193" t="s">
        <v>1025</v>
      </c>
      <c r="AP46" s="193">
        <v>0</v>
      </c>
      <c r="AQ46" s="17" t="s">
        <v>156</v>
      </c>
      <c r="AR46" s="191" t="s">
        <v>422</v>
      </c>
      <c r="AS46" s="191" t="s">
        <v>423</v>
      </c>
      <c r="AT46" s="17" t="s">
        <v>150</v>
      </c>
      <c r="AU46" s="193" t="s">
        <v>1026</v>
      </c>
      <c r="AV46" s="17" t="s">
        <v>199</v>
      </c>
      <c r="AW46" s="17" t="s">
        <v>150</v>
      </c>
      <c r="AX46" s="193" t="s">
        <v>216</v>
      </c>
      <c r="AY46" s="17" t="s">
        <v>216</v>
      </c>
      <c r="AZ46" s="17" t="s">
        <v>216</v>
      </c>
      <c r="BA46" s="17" t="s">
        <v>752</v>
      </c>
      <c r="BB46" s="17" t="s">
        <v>201</v>
      </c>
      <c r="BC46" s="17" t="s">
        <v>836</v>
      </c>
      <c r="BD46" s="191">
        <v>700</v>
      </c>
      <c r="BE46" s="191">
        <v>0</v>
      </c>
      <c r="BF46" s="17" t="s">
        <v>837</v>
      </c>
      <c r="BG46" s="17" t="s">
        <v>150</v>
      </c>
      <c r="BH46" s="17" t="s">
        <v>168</v>
      </c>
      <c r="BI46" s="17" t="s">
        <v>204</v>
      </c>
      <c r="BJ46" s="17" t="s">
        <v>170</v>
      </c>
      <c r="BK46" s="17">
        <v>2</v>
      </c>
      <c r="BL46" s="191" t="s">
        <v>170</v>
      </c>
      <c r="BM46" s="17">
        <v>5</v>
      </c>
      <c r="BN46" s="17">
        <v>4</v>
      </c>
      <c r="BO46" s="191">
        <v>47</v>
      </c>
      <c r="BP46" s="191" t="s">
        <v>1027</v>
      </c>
      <c r="BQ46" s="191" t="s">
        <v>1028</v>
      </c>
      <c r="BR46" s="191" t="s">
        <v>216</v>
      </c>
      <c r="BS46" s="191" t="s">
        <v>1029</v>
      </c>
      <c r="BT46" s="191" t="s">
        <v>419</v>
      </c>
      <c r="BU46" s="191" t="s">
        <v>1030</v>
      </c>
      <c r="BV46" s="191" t="s">
        <v>1031</v>
      </c>
      <c r="BW46" s="191" t="s">
        <v>216</v>
      </c>
      <c r="BX46" s="191" t="s">
        <v>216</v>
      </c>
      <c r="BY46" s="191" t="s">
        <v>216</v>
      </c>
      <c r="BZ46" s="302" cm="1">
        <f t="array" ref="BZ46">SUMPRODUCT(($B$4:$BY$4="Must have")*(B46:BY46&lt;&gt;"")*(UPPER(TRIM(B46:BY46))&lt;&gt;"TBD"))</f>
        <v>52</v>
      </c>
      <c r="CA46" s="302" cm="1">
        <f t="array" ref="CA46">SUMPRODUCT(($B$4:$BY$4="Must have")*((B46:BY46="")+(UPPER(TRIM(B46:BY46))="TBD")))</f>
        <v>0</v>
      </c>
      <c r="CB46" s="302" cm="1">
        <f t="array" ref="CB46">SUMPRODUCT(($B$4:$BY$4="Good to have")*(B46:BY46&lt;&gt;"")*(UPPER(TRIM(B46:BY46))&lt;&gt;"TBD"))</f>
        <v>23</v>
      </c>
      <c r="CC46" s="302" cm="1">
        <f t="array" ref="CC46">SUMPRODUCT(($B$4:$BY$4="Good to have")*((B46:BY46="")+(UPPER(TRIM(B46:BY46))="TBD")))</f>
        <v>0</v>
      </c>
      <c r="CD46" s="175" t="str">
        <f t="shared" si="1"/>
        <v>100%</v>
      </c>
      <c r="CF46" s="174" t="s">
        <v>845</v>
      </c>
    </row>
    <row r="47" spans="1:84" ht="18">
      <c r="A47" s="183" t="s">
        <v>418</v>
      </c>
      <c r="B47" s="190">
        <v>5464</v>
      </c>
      <c r="C47" s="191" t="s">
        <v>425</v>
      </c>
      <c r="D47" s="191" t="s">
        <v>426</v>
      </c>
      <c r="E47" s="191" t="s">
        <v>868</v>
      </c>
      <c r="F47" s="191" t="s">
        <v>179</v>
      </c>
      <c r="G47" s="192" t="s">
        <v>681</v>
      </c>
      <c r="H47" s="193" t="s">
        <v>960</v>
      </c>
      <c r="I47" s="193" t="s">
        <v>933</v>
      </c>
      <c r="J47" s="191" t="s">
        <v>1032</v>
      </c>
      <c r="K47" s="193" t="s">
        <v>772</v>
      </c>
      <c r="L47" s="17" t="s">
        <v>920</v>
      </c>
      <c r="M47" s="17" t="s">
        <v>438</v>
      </c>
      <c r="N47" s="17" t="s">
        <v>150</v>
      </c>
      <c r="O47" s="17" t="s">
        <v>223</v>
      </c>
      <c r="P47" s="348">
        <v>46507</v>
      </c>
      <c r="Q47" s="191" t="s">
        <v>848</v>
      </c>
      <c r="R47" s="17" t="s">
        <v>1033</v>
      </c>
      <c r="S47" s="17" t="s">
        <v>188</v>
      </c>
      <c r="T47" s="17">
        <v>1</v>
      </c>
      <c r="U47" s="307" t="s">
        <v>1034</v>
      </c>
      <c r="V47" s="191" t="s">
        <v>216</v>
      </c>
      <c r="W47" s="191" t="s">
        <v>850</v>
      </c>
      <c r="X47" s="193" t="s">
        <v>715</v>
      </c>
      <c r="Y47" s="17" t="s">
        <v>1035</v>
      </c>
      <c r="Z47" s="17" t="s">
        <v>662</v>
      </c>
      <c r="AA47" s="17" t="s">
        <v>150</v>
      </c>
      <c r="AB47" s="191" t="s">
        <v>150</v>
      </c>
      <c r="AC47" s="17" t="s">
        <v>663</v>
      </c>
      <c r="AD47" s="17" t="s">
        <v>664</v>
      </c>
      <c r="AE47" s="191" t="s">
        <v>150</v>
      </c>
      <c r="AF47" s="17" t="s">
        <v>150</v>
      </c>
      <c r="AG47" s="17" t="s">
        <v>150</v>
      </c>
      <c r="AH47" s="193" t="s">
        <v>389</v>
      </c>
      <c r="AI47" s="193">
        <v>1</v>
      </c>
      <c r="AJ47" s="193" t="s">
        <v>1036</v>
      </c>
      <c r="AK47" s="193" t="s">
        <v>1037</v>
      </c>
      <c r="AL47" s="193">
        <v>1</v>
      </c>
      <c r="AM47" s="193" t="s">
        <v>1038</v>
      </c>
      <c r="AN47" s="193" t="s">
        <v>967</v>
      </c>
      <c r="AO47" s="193" t="s">
        <v>1039</v>
      </c>
      <c r="AP47" s="193">
        <v>0</v>
      </c>
      <c r="AQ47" s="17" t="s">
        <v>156</v>
      </c>
      <c r="AR47" s="191" t="s">
        <v>428</v>
      </c>
      <c r="AS47" s="191" t="s">
        <v>429</v>
      </c>
      <c r="AT47" s="17" t="s">
        <v>150</v>
      </c>
      <c r="AU47" s="193" t="s">
        <v>216</v>
      </c>
      <c r="AV47" s="17" t="s">
        <v>199</v>
      </c>
      <c r="AW47" s="17" t="s">
        <v>150</v>
      </c>
      <c r="AX47" s="193" t="s">
        <v>216</v>
      </c>
      <c r="AY47" s="17" t="s">
        <v>216</v>
      </c>
      <c r="AZ47" s="17" t="s">
        <v>216</v>
      </c>
      <c r="BA47" s="17" t="s">
        <v>752</v>
      </c>
      <c r="BB47" s="17" t="s">
        <v>201</v>
      </c>
      <c r="BC47" s="17" t="s">
        <v>836</v>
      </c>
      <c r="BD47" s="191">
        <v>0</v>
      </c>
      <c r="BE47" s="191"/>
      <c r="BF47" s="17" t="s">
        <v>837</v>
      </c>
      <c r="BG47" s="17" t="s">
        <v>150</v>
      </c>
      <c r="BH47" s="17" t="s">
        <v>168</v>
      </c>
      <c r="BI47" s="17" t="s">
        <v>204</v>
      </c>
      <c r="BJ47" s="17" t="s">
        <v>171</v>
      </c>
      <c r="BK47" s="17">
        <v>1</v>
      </c>
      <c r="BL47" s="191" t="s">
        <v>170</v>
      </c>
      <c r="BM47" s="17">
        <v>5</v>
      </c>
      <c r="BN47" s="17">
        <v>2</v>
      </c>
      <c r="BO47" s="191">
        <v>47</v>
      </c>
      <c r="BP47" s="191" t="s">
        <v>1040</v>
      </c>
      <c r="BQ47" s="191" t="s">
        <v>216</v>
      </c>
      <c r="BR47" s="191" t="s">
        <v>216</v>
      </c>
      <c r="BS47" s="191" t="s">
        <v>215</v>
      </c>
      <c r="BT47" s="191" t="s">
        <v>839</v>
      </c>
      <c r="BU47" s="191" t="s">
        <v>933</v>
      </c>
      <c r="BV47" s="191" t="s">
        <v>697</v>
      </c>
      <c r="BW47" s="191" t="s">
        <v>216</v>
      </c>
      <c r="BX47" s="191" t="s">
        <v>216</v>
      </c>
      <c r="BY47" s="191" t="s">
        <v>216</v>
      </c>
      <c r="BZ47" s="302" cm="1">
        <f t="array" ref="BZ47">SUMPRODUCT(($B$4:$BY$4="Must have")*(B47:BY47&lt;&gt;"")*(UPPER(TRIM(B47:BY47))&lt;&gt;"TBD"))</f>
        <v>52</v>
      </c>
      <c r="CA47" s="302" cm="1">
        <f t="array" ref="CA47">SUMPRODUCT(($B$4:$BY$4="Must have")*((B47:BY47="")+(UPPER(TRIM(B47:BY47))="TBD")))</f>
        <v>0</v>
      </c>
      <c r="CB47" s="302" cm="1">
        <f t="array" ref="CB47">SUMPRODUCT(($B$4:$BY$4="Good to have")*(B47:BY47&lt;&gt;"")*(UPPER(TRIM(B47:BY47))&lt;&gt;"TBD"))</f>
        <v>21</v>
      </c>
      <c r="CC47" s="302" cm="1">
        <f t="array" ref="CC47">SUMPRODUCT(($B$4:$BY$4="Good to have")*((B47:BY47="")+(UPPER(TRIM(B47:BY47))="TBD")))</f>
        <v>2</v>
      </c>
      <c r="CD47" s="175" t="str">
        <f t="shared" si="1"/>
        <v>97.33%</v>
      </c>
      <c r="CF47" s="174" t="s">
        <v>845</v>
      </c>
    </row>
    <row r="48" spans="1:84" ht="18">
      <c r="A48" s="183" t="s">
        <v>424</v>
      </c>
      <c r="B48" s="190">
        <v>5465</v>
      </c>
      <c r="C48" s="191" t="s">
        <v>431</v>
      </c>
      <c r="D48" s="191" t="s">
        <v>432</v>
      </c>
      <c r="E48" s="191" t="s">
        <v>1041</v>
      </c>
      <c r="F48" s="191" t="s">
        <v>179</v>
      </c>
      <c r="G48" s="192" t="s">
        <v>681</v>
      </c>
      <c r="H48" s="193" t="s">
        <v>216</v>
      </c>
      <c r="I48" s="193" t="s">
        <v>933</v>
      </c>
      <c r="J48" s="191" t="s">
        <v>948</v>
      </c>
      <c r="K48" s="193" t="s">
        <v>772</v>
      </c>
      <c r="L48" s="17" t="s">
        <v>1042</v>
      </c>
      <c r="M48" s="17" t="s">
        <v>1042</v>
      </c>
      <c r="N48" s="17" t="s">
        <v>1043</v>
      </c>
      <c r="O48" s="17" t="s">
        <v>212</v>
      </c>
      <c r="P48" s="348">
        <v>46507</v>
      </c>
      <c r="Q48" s="191" t="s">
        <v>848</v>
      </c>
      <c r="R48" s="17" t="s">
        <v>1044</v>
      </c>
      <c r="S48" s="17" t="s">
        <v>142</v>
      </c>
      <c r="T48" s="17">
        <v>1</v>
      </c>
      <c r="U48" s="307" t="s">
        <v>951</v>
      </c>
      <c r="V48" s="191" t="s">
        <v>1045</v>
      </c>
      <c r="W48" s="191" t="s">
        <v>850</v>
      </c>
      <c r="X48" s="193" t="s">
        <v>715</v>
      </c>
      <c r="Y48" s="17" t="s">
        <v>190</v>
      </c>
      <c r="Z48" s="17" t="s">
        <v>823</v>
      </c>
      <c r="AA48" s="17" t="s">
        <v>150</v>
      </c>
      <c r="AB48" s="191" t="s">
        <v>150</v>
      </c>
      <c r="AC48" s="17" t="s">
        <v>142</v>
      </c>
      <c r="AD48" s="17" t="s">
        <v>664</v>
      </c>
      <c r="AE48" s="191" t="s">
        <v>150</v>
      </c>
      <c r="AF48" s="17" t="s">
        <v>138</v>
      </c>
      <c r="AG48" s="17" t="s">
        <v>150</v>
      </c>
      <c r="AH48" s="193" t="s">
        <v>1046</v>
      </c>
      <c r="AI48" s="193">
        <v>123</v>
      </c>
      <c r="AJ48" s="193" t="s">
        <v>1038</v>
      </c>
      <c r="AK48" s="193" t="s">
        <v>1047</v>
      </c>
      <c r="AL48" s="193" t="s">
        <v>215</v>
      </c>
      <c r="AM48" s="193" t="s">
        <v>1048</v>
      </c>
      <c r="AN48" s="193" t="s">
        <v>1049</v>
      </c>
      <c r="AO48" s="193" t="s">
        <v>1049</v>
      </c>
      <c r="AP48" s="193">
        <v>0</v>
      </c>
      <c r="AQ48" s="17" t="s">
        <v>156</v>
      </c>
      <c r="AR48" s="191" t="s">
        <v>433</v>
      </c>
      <c r="AS48" s="191" t="s">
        <v>434</v>
      </c>
      <c r="AT48" s="17" t="s">
        <v>150</v>
      </c>
      <c r="AU48" s="193" t="s">
        <v>216</v>
      </c>
      <c r="AV48" s="17" t="s">
        <v>199</v>
      </c>
      <c r="AW48" s="17" t="s">
        <v>150</v>
      </c>
      <c r="AX48" s="193" t="s">
        <v>217</v>
      </c>
      <c r="AY48" s="17" t="s">
        <v>216</v>
      </c>
      <c r="AZ48" s="17" t="s">
        <v>216</v>
      </c>
      <c r="BA48" s="17" t="s">
        <v>752</v>
      </c>
      <c r="BB48" s="17" t="s">
        <v>201</v>
      </c>
      <c r="BC48" s="17" t="s">
        <v>836</v>
      </c>
      <c r="BD48" s="191">
        <v>0</v>
      </c>
      <c r="BE48" s="191">
        <v>0</v>
      </c>
      <c r="BF48" s="17" t="s">
        <v>837</v>
      </c>
      <c r="BG48" s="17" t="s">
        <v>150</v>
      </c>
      <c r="BH48" s="17" t="s">
        <v>168</v>
      </c>
      <c r="BI48" s="17" t="s">
        <v>204</v>
      </c>
      <c r="BJ48" s="17" t="s">
        <v>171</v>
      </c>
      <c r="BK48" s="17">
        <v>2</v>
      </c>
      <c r="BL48" s="191" t="s">
        <v>171</v>
      </c>
      <c r="BM48" s="17">
        <v>19</v>
      </c>
      <c r="BN48" s="17">
        <v>2</v>
      </c>
      <c r="BO48" s="191">
        <v>0</v>
      </c>
      <c r="BP48" s="191" t="s">
        <v>216</v>
      </c>
      <c r="BQ48" s="191" t="s">
        <v>216</v>
      </c>
      <c r="BR48" s="191" t="s">
        <v>1050</v>
      </c>
      <c r="BS48" s="191" t="s">
        <v>215</v>
      </c>
      <c r="BT48" s="191" t="s">
        <v>1051</v>
      </c>
      <c r="BU48" s="191" t="s">
        <v>933</v>
      </c>
      <c r="BV48" s="191" t="s">
        <v>1052</v>
      </c>
      <c r="BW48" s="191" t="s">
        <v>216</v>
      </c>
      <c r="BX48" s="191" t="s">
        <v>776</v>
      </c>
      <c r="BY48" s="191" t="s">
        <v>776</v>
      </c>
      <c r="BZ48" s="302" cm="1">
        <f t="array" ref="BZ48">SUMPRODUCT(($B$4:$BY$4="Must have")*(B48:BY48&lt;&gt;"")*(UPPER(TRIM(B48:BY48))&lt;&gt;"TBD"))</f>
        <v>51</v>
      </c>
      <c r="CA48" s="302" cm="1">
        <f t="array" ref="CA48">SUMPRODUCT(($B$4:$BY$4="Must have")*((B48:BY48="")+(UPPER(TRIM(B48:BY48))="TBD")))</f>
        <v>1</v>
      </c>
      <c r="CB48" s="302" cm="1">
        <f t="array" ref="CB48">SUMPRODUCT(($B$4:$BY$4="Good to have")*(B48:BY48&lt;&gt;"")*(UPPER(TRIM(B48:BY48))&lt;&gt;"TBD"))</f>
        <v>22</v>
      </c>
      <c r="CC48" s="302" cm="1">
        <f t="array" ref="CC48">SUMPRODUCT(($B$4:$BY$4="Good to have")*((B48:BY48="")+(UPPER(TRIM(B48:BY48))="TBD")))</f>
        <v>1</v>
      </c>
      <c r="CD48" s="175" t="str">
        <f t="shared" si="1"/>
        <v>97.33%</v>
      </c>
      <c r="CF48" s="174" t="s">
        <v>845</v>
      </c>
    </row>
    <row r="49" spans="1:84" ht="49.7" customHeight="1">
      <c r="A49" s="183" t="s">
        <v>430</v>
      </c>
      <c r="B49" s="190">
        <v>5478</v>
      </c>
      <c r="C49" s="191" t="s">
        <v>436</v>
      </c>
      <c r="D49" s="191" t="s">
        <v>437</v>
      </c>
      <c r="E49" s="191" t="s">
        <v>868</v>
      </c>
      <c r="F49" s="191" t="s">
        <v>179</v>
      </c>
      <c r="G49" s="192" t="s">
        <v>681</v>
      </c>
      <c r="H49" s="193" t="s">
        <v>1053</v>
      </c>
      <c r="I49" s="193" t="s">
        <v>439</v>
      </c>
      <c r="J49" s="191" t="s">
        <v>1032</v>
      </c>
      <c r="K49" s="193" t="s">
        <v>182</v>
      </c>
      <c r="L49" s="17" t="s">
        <v>655</v>
      </c>
      <c r="M49" s="17" t="s">
        <v>438</v>
      </c>
      <c r="N49" s="17" t="s">
        <v>138</v>
      </c>
      <c r="O49" s="17" t="s">
        <v>212</v>
      </c>
      <c r="P49" s="348">
        <v>46387</v>
      </c>
      <c r="Q49" s="191" t="s">
        <v>848</v>
      </c>
      <c r="R49" s="334" t="s">
        <v>1054</v>
      </c>
      <c r="S49" s="17" t="s">
        <v>187</v>
      </c>
      <c r="T49" s="17">
        <v>2</v>
      </c>
      <c r="U49" s="17" t="s">
        <v>1055</v>
      </c>
      <c r="V49" s="191" t="s">
        <v>1056</v>
      </c>
      <c r="W49" s="229">
        <v>46203</v>
      </c>
      <c r="X49" s="193" t="s">
        <v>715</v>
      </c>
      <c r="Y49" s="17" t="s">
        <v>661</v>
      </c>
      <c r="Z49" s="17" t="s">
        <v>662</v>
      </c>
      <c r="AA49" s="17" t="s">
        <v>150</v>
      </c>
      <c r="AB49" s="191" t="s">
        <v>150</v>
      </c>
      <c r="AC49" s="17" t="s">
        <v>187</v>
      </c>
      <c r="AD49" s="17" t="s">
        <v>191</v>
      </c>
      <c r="AE49" s="191" t="s">
        <v>138</v>
      </c>
      <c r="AF49" s="17" t="s">
        <v>138</v>
      </c>
      <c r="AG49" s="17" t="s">
        <v>150</v>
      </c>
      <c r="AH49" s="193" t="s">
        <v>173</v>
      </c>
      <c r="AI49" s="193" t="s">
        <v>173</v>
      </c>
      <c r="AJ49" s="193" t="s">
        <v>173</v>
      </c>
      <c r="AK49" s="193" t="s">
        <v>1057</v>
      </c>
      <c r="AL49" s="223">
        <v>3</v>
      </c>
      <c r="AM49" s="193" t="s">
        <v>943</v>
      </c>
      <c r="AN49" s="193" t="s">
        <v>863</v>
      </c>
      <c r="AO49" s="193" t="s">
        <v>1058</v>
      </c>
      <c r="AP49" s="193" t="s">
        <v>1059</v>
      </c>
      <c r="AQ49" s="17" t="s">
        <v>945</v>
      </c>
      <c r="AR49" s="191" t="s">
        <v>441</v>
      </c>
      <c r="AS49" s="191" t="s">
        <v>386</v>
      </c>
      <c r="AT49" s="17" t="s">
        <v>150</v>
      </c>
      <c r="AU49" s="193" t="s">
        <v>349</v>
      </c>
      <c r="AV49" s="17" t="s">
        <v>199</v>
      </c>
      <c r="AW49" s="17" t="s">
        <v>150</v>
      </c>
      <c r="AX49" s="193" t="s">
        <v>160</v>
      </c>
      <c r="AY49" s="17" t="s">
        <v>173</v>
      </c>
      <c r="AZ49" s="17" t="s">
        <v>173</v>
      </c>
      <c r="BA49" s="17" t="s">
        <v>752</v>
      </c>
      <c r="BB49" s="17" t="s">
        <v>674</v>
      </c>
      <c r="BC49" s="17" t="s">
        <v>836</v>
      </c>
      <c r="BD49" s="191">
        <v>20</v>
      </c>
      <c r="BE49" s="230" t="s">
        <v>1060</v>
      </c>
      <c r="BF49" s="17" t="s">
        <v>837</v>
      </c>
      <c r="BG49" s="17" t="s">
        <v>150</v>
      </c>
      <c r="BH49" s="17" t="s">
        <v>203</v>
      </c>
      <c r="BI49" s="17" t="s">
        <v>204</v>
      </c>
      <c r="BJ49" s="17" t="s">
        <v>170</v>
      </c>
      <c r="BK49" s="17">
        <v>2</v>
      </c>
      <c r="BL49" s="191" t="s">
        <v>170</v>
      </c>
      <c r="BM49" s="17">
        <v>3</v>
      </c>
      <c r="BN49" s="17">
        <v>1</v>
      </c>
      <c r="BO49" s="191">
        <v>2</v>
      </c>
      <c r="BP49" s="191" t="s">
        <v>932</v>
      </c>
      <c r="BQ49" s="191" t="s">
        <v>173</v>
      </c>
      <c r="BR49" s="191" t="s">
        <v>173</v>
      </c>
      <c r="BS49" s="191"/>
      <c r="BT49" s="191" t="s">
        <v>1061</v>
      </c>
      <c r="BU49" s="191" t="s">
        <v>439</v>
      </c>
      <c r="BV49" s="191" t="s">
        <v>1062</v>
      </c>
      <c r="BW49" s="191" t="s">
        <v>842</v>
      </c>
      <c r="BX49" s="191" t="s">
        <v>903</v>
      </c>
      <c r="BY49" s="191" t="s">
        <v>904</v>
      </c>
      <c r="BZ49" s="302" cm="1">
        <f t="array" ref="BZ49">SUMPRODUCT(($B$4:$BY$4="Must have")*(B49:BY49&lt;&gt;"")*(UPPER(TRIM(B49:BY49))&lt;&gt;"TBD"))</f>
        <v>52</v>
      </c>
      <c r="CA49" s="302" cm="1">
        <f t="array" ref="CA49">SUMPRODUCT(($B$4:$BY$4="Must have")*((B49:BY49="")+(UPPER(TRIM(B49:BY49))="TBD")))</f>
        <v>0</v>
      </c>
      <c r="CB49" s="302" cm="1">
        <f t="array" ref="CB49">SUMPRODUCT(($B$4:$BY$4="Good to have")*(B49:BY49&lt;&gt;"")*(UPPER(TRIM(B49:BY49))&lt;&gt;"TBD"))</f>
        <v>22</v>
      </c>
      <c r="CC49" s="302" cm="1">
        <f t="array" ref="CC49">SUMPRODUCT(($B$4:$BY$4="Good to have")*((B49:BY49="")+(UPPER(TRIM(B49:BY49))="TBD")))</f>
        <v>1</v>
      </c>
      <c r="CD49" s="175" t="str">
        <f t="shared" si="1"/>
        <v>98.67%</v>
      </c>
      <c r="CF49" s="174" t="s">
        <v>845</v>
      </c>
    </row>
    <row r="50" spans="1:84" ht="18">
      <c r="A50" s="183" t="s">
        <v>435</v>
      </c>
      <c r="B50" s="190">
        <v>5479</v>
      </c>
      <c r="C50" s="191" t="s">
        <v>443</v>
      </c>
      <c r="D50" s="191" t="s">
        <v>444</v>
      </c>
      <c r="E50" s="191" t="s">
        <v>868</v>
      </c>
      <c r="F50" s="191" t="s">
        <v>179</v>
      </c>
      <c r="G50" s="192" t="s">
        <v>681</v>
      </c>
      <c r="H50" s="193" t="s">
        <v>905</v>
      </c>
      <c r="I50" s="193" t="s">
        <v>1063</v>
      </c>
      <c r="J50" s="191" t="s">
        <v>1064</v>
      </c>
      <c r="K50" s="193" t="s">
        <v>182</v>
      </c>
      <c r="L50" s="17" t="s">
        <v>655</v>
      </c>
      <c r="M50" s="17" t="s">
        <v>221</v>
      </c>
      <c r="N50" s="17" t="s">
        <v>138</v>
      </c>
      <c r="O50" s="17" t="s">
        <v>223</v>
      </c>
      <c r="P50" s="348">
        <v>46387</v>
      </c>
      <c r="Q50" s="191" t="s">
        <v>848</v>
      </c>
      <c r="R50" s="17" t="s">
        <v>342</v>
      </c>
      <c r="S50" s="17" t="s">
        <v>142</v>
      </c>
      <c r="T50" s="17">
        <v>2</v>
      </c>
      <c r="U50" s="17" t="s">
        <v>138</v>
      </c>
      <c r="V50" s="191" t="s">
        <v>658</v>
      </c>
      <c r="W50" s="191" t="s">
        <v>850</v>
      </c>
      <c r="X50" s="193" t="s">
        <v>715</v>
      </c>
      <c r="Y50" s="17" t="s">
        <v>661</v>
      </c>
      <c r="Z50" s="17" t="s">
        <v>915</v>
      </c>
      <c r="AA50" s="17" t="s">
        <v>150</v>
      </c>
      <c r="AB50" s="191" t="s">
        <v>150</v>
      </c>
      <c r="AC50" s="17" t="s">
        <v>187</v>
      </c>
      <c r="AD50" s="17" t="s">
        <v>664</v>
      </c>
      <c r="AE50" s="191" t="s">
        <v>138</v>
      </c>
      <c r="AF50" s="17" t="s">
        <v>150</v>
      </c>
      <c r="AG50" s="17" t="s">
        <v>150</v>
      </c>
      <c r="AH50" s="193" t="s">
        <v>1065</v>
      </c>
      <c r="AI50" s="223">
        <v>10</v>
      </c>
      <c r="AJ50" s="223" t="s">
        <v>1066</v>
      </c>
      <c r="AK50" s="223" t="s">
        <v>1067</v>
      </c>
      <c r="AL50" s="223">
        <v>20</v>
      </c>
      <c r="AM50" s="223" t="s">
        <v>1038</v>
      </c>
      <c r="AN50" s="193" t="s">
        <v>863</v>
      </c>
      <c r="AO50" s="193" t="s">
        <v>1068</v>
      </c>
      <c r="AP50" s="193" t="s">
        <v>1069</v>
      </c>
      <c r="AQ50" s="17" t="s">
        <v>945</v>
      </c>
      <c r="AR50" s="191" t="s">
        <v>446</v>
      </c>
      <c r="AS50" s="191" t="s">
        <v>386</v>
      </c>
      <c r="AT50" s="17" t="s">
        <v>138</v>
      </c>
      <c r="AU50" s="193" t="s">
        <v>349</v>
      </c>
      <c r="AV50" s="17" t="s">
        <v>199</v>
      </c>
      <c r="AW50" s="17" t="s">
        <v>150</v>
      </c>
      <c r="AX50" s="193" t="s">
        <v>160</v>
      </c>
      <c r="AY50" s="17" t="s">
        <v>173</v>
      </c>
      <c r="AZ50" s="17" t="s">
        <v>173</v>
      </c>
      <c r="BA50" s="17" t="s">
        <v>752</v>
      </c>
      <c r="BB50" s="17" t="s">
        <v>674</v>
      </c>
      <c r="BC50" s="17" t="s">
        <v>836</v>
      </c>
      <c r="BD50" s="191">
        <v>20</v>
      </c>
      <c r="BE50" s="230" t="s">
        <v>1060</v>
      </c>
      <c r="BF50" s="17" t="s">
        <v>837</v>
      </c>
      <c r="BG50" s="17" t="s">
        <v>150</v>
      </c>
      <c r="BH50" s="17" t="s">
        <v>203</v>
      </c>
      <c r="BI50" s="17" t="s">
        <v>204</v>
      </c>
      <c r="BJ50" s="17" t="s">
        <v>170</v>
      </c>
      <c r="BK50" s="17">
        <v>2</v>
      </c>
      <c r="BL50" s="191" t="s">
        <v>182</v>
      </c>
      <c r="BM50" s="17">
        <v>9</v>
      </c>
      <c r="BN50" s="17">
        <v>5</v>
      </c>
      <c r="BO50" s="191">
        <v>1</v>
      </c>
      <c r="BP50" s="191" t="s">
        <v>932</v>
      </c>
      <c r="BQ50" s="191" t="s">
        <v>173</v>
      </c>
      <c r="BR50" s="191" t="s">
        <v>173</v>
      </c>
      <c r="BS50" s="191"/>
      <c r="BT50" s="191" t="s">
        <v>443</v>
      </c>
      <c r="BU50" s="191" t="s">
        <v>928</v>
      </c>
      <c r="BV50" s="191"/>
      <c r="BW50" s="191" t="s">
        <v>791</v>
      </c>
      <c r="BX50" s="191" t="s">
        <v>903</v>
      </c>
      <c r="BY50" s="191" t="s">
        <v>904</v>
      </c>
      <c r="BZ50" s="302" cm="1">
        <f t="array" ref="BZ50">SUMPRODUCT(($B$4:$BY$4="Must have")*(B50:BY50&lt;&gt;"")*(UPPER(TRIM(B50:BY50))&lt;&gt;"TBD"))</f>
        <v>52</v>
      </c>
      <c r="CA50" s="302" cm="1">
        <f t="array" ref="CA50">SUMPRODUCT(($B$4:$BY$4="Must have")*((B50:BY50="")+(UPPER(TRIM(B50:BY50))="TBD")))</f>
        <v>0</v>
      </c>
      <c r="CB50" s="302" cm="1">
        <f t="array" ref="CB50">SUMPRODUCT(($B$4:$BY$4="Good to have")*(B50:BY50&lt;&gt;"")*(UPPER(TRIM(B50:BY50))&lt;&gt;"TBD"))</f>
        <v>21</v>
      </c>
      <c r="CC50" s="302" cm="1">
        <f t="array" ref="CC50">SUMPRODUCT(($B$4:$BY$4="Good to have")*((B50:BY50="")+(UPPER(TRIM(B50:BY50))="TBD")))</f>
        <v>2</v>
      </c>
      <c r="CD50" s="175" t="str">
        <f t="shared" si="1"/>
        <v>97.33%</v>
      </c>
      <c r="CF50" s="174" t="s">
        <v>845</v>
      </c>
    </row>
    <row r="51" spans="1:84" ht="18.600000000000001" thickBot="1">
      <c r="A51" s="183" t="s">
        <v>442</v>
      </c>
      <c r="B51" s="190">
        <v>5567</v>
      </c>
      <c r="C51" s="191" t="s">
        <v>448</v>
      </c>
      <c r="D51" s="191" t="s">
        <v>449</v>
      </c>
      <c r="E51" s="191" t="s">
        <v>868</v>
      </c>
      <c r="F51" s="191" t="s">
        <v>179</v>
      </c>
      <c r="G51" s="192" t="s">
        <v>681</v>
      </c>
      <c r="H51" s="193" t="s">
        <v>1070</v>
      </c>
      <c r="I51" s="320" t="s">
        <v>1018</v>
      </c>
      <c r="J51" s="191" t="s">
        <v>948</v>
      </c>
      <c r="K51" s="193" t="s">
        <v>772</v>
      </c>
      <c r="L51" s="17" t="s">
        <v>1042</v>
      </c>
      <c r="M51" s="17" t="s">
        <v>1071</v>
      </c>
      <c r="N51" s="17" t="s">
        <v>138</v>
      </c>
      <c r="O51" s="17" t="s">
        <v>212</v>
      </c>
      <c r="P51" s="348">
        <v>46387</v>
      </c>
      <c r="Q51" s="191" t="s">
        <v>848</v>
      </c>
      <c r="R51" s="17" t="s">
        <v>342</v>
      </c>
      <c r="S51" s="17" t="s">
        <v>188</v>
      </c>
      <c r="T51" s="17">
        <v>1</v>
      </c>
      <c r="U51" s="17" t="s">
        <v>189</v>
      </c>
      <c r="V51" s="191" t="s">
        <v>173</v>
      </c>
      <c r="W51" s="191" t="s">
        <v>173</v>
      </c>
      <c r="X51" s="193" t="s">
        <v>715</v>
      </c>
      <c r="Y51" s="17" t="s">
        <v>661</v>
      </c>
      <c r="Z51" s="17" t="s">
        <v>915</v>
      </c>
      <c r="AA51" s="17" t="s">
        <v>150</v>
      </c>
      <c r="AB51" s="191" t="s">
        <v>150</v>
      </c>
      <c r="AC51" s="17" t="s">
        <v>663</v>
      </c>
      <c r="AD51" s="17" t="s">
        <v>664</v>
      </c>
      <c r="AE51" s="191" t="s">
        <v>150</v>
      </c>
      <c r="AF51" s="17" t="s">
        <v>150</v>
      </c>
      <c r="AG51" s="17" t="s">
        <v>150</v>
      </c>
      <c r="AH51" s="193" t="s">
        <v>443</v>
      </c>
      <c r="AI51" s="193">
        <v>1</v>
      </c>
      <c r="AJ51" s="193" t="s">
        <v>1072</v>
      </c>
      <c r="AK51" s="193" t="s">
        <v>443</v>
      </c>
      <c r="AL51" s="193">
        <v>1</v>
      </c>
      <c r="AM51" s="193" t="s">
        <v>1073</v>
      </c>
      <c r="AN51" s="193" t="s">
        <v>863</v>
      </c>
      <c r="AO51" s="193" t="s">
        <v>372</v>
      </c>
      <c r="AP51" s="193">
        <v>0</v>
      </c>
      <c r="AQ51" s="17" t="s">
        <v>156</v>
      </c>
      <c r="AR51" s="191" t="s">
        <v>450</v>
      </c>
      <c r="AS51" s="191" t="s">
        <v>451</v>
      </c>
      <c r="AT51" s="17" t="s">
        <v>150</v>
      </c>
      <c r="AU51" s="193" t="s">
        <v>216</v>
      </c>
      <c r="AV51" s="17" t="s">
        <v>199</v>
      </c>
      <c r="AW51" s="17" t="s">
        <v>150</v>
      </c>
      <c r="AX51" s="193" t="s">
        <v>217</v>
      </c>
      <c r="AY51" s="17" t="s">
        <v>173</v>
      </c>
      <c r="AZ51" s="17" t="s">
        <v>173</v>
      </c>
      <c r="BA51" s="17" t="s">
        <v>752</v>
      </c>
      <c r="BB51" s="17" t="s">
        <v>674</v>
      </c>
      <c r="BC51" s="17" t="s">
        <v>836</v>
      </c>
      <c r="BD51" s="191">
        <v>2</v>
      </c>
      <c r="BE51" s="191">
        <v>0</v>
      </c>
      <c r="BF51" s="17" t="s">
        <v>837</v>
      </c>
      <c r="BG51" s="17" t="s">
        <v>150</v>
      </c>
      <c r="BH51" s="17" t="s">
        <v>203</v>
      </c>
      <c r="BI51" s="17" t="s">
        <v>204</v>
      </c>
      <c r="BJ51" s="17" t="s">
        <v>170</v>
      </c>
      <c r="BK51" s="17">
        <v>2</v>
      </c>
      <c r="BL51" s="191" t="s">
        <v>170</v>
      </c>
      <c r="BM51" s="17">
        <v>1</v>
      </c>
      <c r="BN51" s="17">
        <v>1</v>
      </c>
      <c r="BO51" s="191">
        <v>1</v>
      </c>
      <c r="BP51" s="191" t="s">
        <v>173</v>
      </c>
      <c r="BQ51" s="191" t="s">
        <v>173</v>
      </c>
      <c r="BR51" s="191" t="s">
        <v>173</v>
      </c>
      <c r="BS51" s="191"/>
      <c r="BT51" s="191" t="s">
        <v>448</v>
      </c>
      <c r="BU51" s="191"/>
      <c r="BV51" s="191"/>
      <c r="BW51" s="191" t="s">
        <v>216</v>
      </c>
      <c r="BX51" s="191" t="s">
        <v>776</v>
      </c>
      <c r="BY51" s="191" t="s">
        <v>776</v>
      </c>
      <c r="BZ51" s="302" cm="1">
        <f t="array" ref="BZ51">SUMPRODUCT(($B$4:$BY$4="Must have")*(B51:BY51&lt;&gt;"")*(UPPER(TRIM(B51:BY51))&lt;&gt;"TBD"))</f>
        <v>52</v>
      </c>
      <c r="CA51" s="302" cm="1">
        <f t="array" ref="CA51">SUMPRODUCT(($B$4:$BY$4="Must have")*((B51:BY51="")+(UPPER(TRIM(B51:BY51))="TBD")))</f>
        <v>0</v>
      </c>
      <c r="CB51" s="302" cm="1">
        <f t="array" ref="CB51">SUMPRODUCT(($B$4:$BY$4="Good to have")*(B51:BY51&lt;&gt;"")*(UPPER(TRIM(B51:BY51))&lt;&gt;"TBD"))</f>
        <v>20</v>
      </c>
      <c r="CC51" s="302" cm="1">
        <f t="array" ref="CC51">SUMPRODUCT(($B$4:$BY$4="Good to have")*((B51:BY51="")+(UPPER(TRIM(B51:BY51))="TBD")))</f>
        <v>3</v>
      </c>
      <c r="CD51" s="175" t="str">
        <f t="shared" si="1"/>
        <v>96%</v>
      </c>
      <c r="CF51" s="174" t="s">
        <v>845</v>
      </c>
    </row>
    <row r="52" spans="1:84" ht="18.600000000000001" thickBot="1">
      <c r="A52" s="183" t="s">
        <v>447</v>
      </c>
      <c r="B52" s="190">
        <v>5570</v>
      </c>
      <c r="C52" s="191" t="s">
        <v>453</v>
      </c>
      <c r="D52" s="191" t="s">
        <v>454</v>
      </c>
      <c r="E52" s="191" t="s">
        <v>868</v>
      </c>
      <c r="F52" s="191" t="s">
        <v>179</v>
      </c>
      <c r="G52" s="192" t="s">
        <v>681</v>
      </c>
      <c r="H52" s="193" t="s">
        <v>1074</v>
      </c>
      <c r="I52" s="321" t="s">
        <v>1075</v>
      </c>
      <c r="J52" s="191" t="s">
        <v>654</v>
      </c>
      <c r="K52" s="193" t="s">
        <v>772</v>
      </c>
      <c r="L52" s="17" t="s">
        <v>655</v>
      </c>
      <c r="M52" s="17" t="s">
        <v>816</v>
      </c>
      <c r="N52" s="17" t="s">
        <v>150</v>
      </c>
      <c r="O52" s="17" t="s">
        <v>212</v>
      </c>
      <c r="P52" s="348">
        <v>46387</v>
      </c>
      <c r="Q52" s="191" t="s">
        <v>848</v>
      </c>
      <c r="R52" s="17" t="s">
        <v>1076</v>
      </c>
      <c r="S52" s="17" t="s">
        <v>663</v>
      </c>
      <c r="T52" s="17">
        <v>1</v>
      </c>
      <c r="U52" s="17" t="s">
        <v>1077</v>
      </c>
      <c r="V52" s="322" t="s">
        <v>173</v>
      </c>
      <c r="W52" s="191" t="s">
        <v>173</v>
      </c>
      <c r="X52" s="193" t="s">
        <v>715</v>
      </c>
      <c r="Y52" s="17" t="s">
        <v>661</v>
      </c>
      <c r="Z52" s="17" t="s">
        <v>662</v>
      </c>
      <c r="AA52" s="17" t="s">
        <v>150</v>
      </c>
      <c r="AB52" s="191" t="s">
        <v>150</v>
      </c>
      <c r="AC52" s="17" t="s">
        <v>663</v>
      </c>
      <c r="AD52" s="17" t="s">
        <v>664</v>
      </c>
      <c r="AE52" s="191" t="s">
        <v>138</v>
      </c>
      <c r="AF52" s="17" t="s">
        <v>150</v>
      </c>
      <c r="AG52" s="17" t="s">
        <v>150</v>
      </c>
      <c r="AH52" s="193" t="s">
        <v>1078</v>
      </c>
      <c r="AI52" s="193">
        <v>2</v>
      </c>
      <c r="AJ52" s="193" t="s">
        <v>1079</v>
      </c>
      <c r="AK52" s="193" t="s">
        <v>408</v>
      </c>
      <c r="AL52" s="193">
        <v>1</v>
      </c>
      <c r="AM52" s="193" t="s">
        <v>916</v>
      </c>
      <c r="AN52" s="193" t="s">
        <v>863</v>
      </c>
      <c r="AO52" s="193" t="s">
        <v>1080</v>
      </c>
      <c r="AP52" s="193">
        <v>0</v>
      </c>
      <c r="AQ52" s="17" t="s">
        <v>945</v>
      </c>
      <c r="AR52" s="191" t="s">
        <v>456</v>
      </c>
      <c r="AS52" s="191" t="s">
        <v>453</v>
      </c>
      <c r="AT52" s="17" t="s">
        <v>150</v>
      </c>
      <c r="AU52" s="193" t="s">
        <v>417</v>
      </c>
      <c r="AV52" s="17" t="s">
        <v>199</v>
      </c>
      <c r="AW52" s="17" t="s">
        <v>150</v>
      </c>
      <c r="AX52" s="193" t="s">
        <v>160</v>
      </c>
      <c r="AY52" s="17" t="s">
        <v>173</v>
      </c>
      <c r="AZ52" s="17" t="s">
        <v>173</v>
      </c>
      <c r="BA52" s="17" t="s">
        <v>752</v>
      </c>
      <c r="BB52" s="17" t="s">
        <v>674</v>
      </c>
      <c r="BC52" s="17" t="s">
        <v>836</v>
      </c>
      <c r="BD52" s="191">
        <v>5</v>
      </c>
      <c r="BE52" s="191">
        <v>0</v>
      </c>
      <c r="BF52" s="17" t="s">
        <v>837</v>
      </c>
      <c r="BG52" s="17" t="s">
        <v>150</v>
      </c>
      <c r="BH52" s="17" t="s">
        <v>203</v>
      </c>
      <c r="BI52" s="17" t="s">
        <v>204</v>
      </c>
      <c r="BJ52" s="17" t="s">
        <v>170</v>
      </c>
      <c r="BK52" s="17">
        <v>2</v>
      </c>
      <c r="BL52" s="191" t="s">
        <v>170</v>
      </c>
      <c r="BM52" s="17">
        <v>5</v>
      </c>
      <c r="BN52" s="17">
        <v>1</v>
      </c>
      <c r="BO52" s="191">
        <v>20</v>
      </c>
      <c r="BP52" s="323" t="s">
        <v>932</v>
      </c>
      <c r="BQ52" s="191" t="s">
        <v>173</v>
      </c>
      <c r="BR52" s="191" t="s">
        <v>173</v>
      </c>
      <c r="BS52" s="191"/>
      <c r="BT52" s="191" t="s">
        <v>1081</v>
      </c>
      <c r="BU52" s="191"/>
      <c r="BV52" s="191"/>
      <c r="BW52" s="191" t="s">
        <v>842</v>
      </c>
      <c r="BX52" s="191" t="s">
        <v>843</v>
      </c>
      <c r="BY52" s="191" t="s">
        <v>844</v>
      </c>
      <c r="BZ52" s="302" cm="1">
        <f t="array" ref="BZ52">SUMPRODUCT(($B$4:$BY$4="Must have")*(B52:BY52&lt;&gt;"")*(UPPER(TRIM(B52:BY52))&lt;&gt;"TBD"))</f>
        <v>52</v>
      </c>
      <c r="CA52" s="302" cm="1">
        <f t="array" ref="CA52">SUMPRODUCT(($B$4:$BY$4="Must have")*((B52:BY52="")+(UPPER(TRIM(B52:BY52))="TBD")))</f>
        <v>0</v>
      </c>
      <c r="CB52" s="302" cm="1">
        <f t="array" ref="CB52">SUMPRODUCT(($B$4:$BY$4="Good to have")*(B52:BY52&lt;&gt;"")*(UPPER(TRIM(B52:BY52))&lt;&gt;"TBD"))</f>
        <v>20</v>
      </c>
      <c r="CC52" s="302" cm="1">
        <f t="array" ref="CC52">SUMPRODUCT(($B$4:$BY$4="Good to have")*((B52:BY52="")+(UPPER(TRIM(B52:BY52))="TBD")))</f>
        <v>3</v>
      </c>
      <c r="CD52" s="175" t="str">
        <f t="shared" si="1"/>
        <v>96%</v>
      </c>
      <c r="CF52" s="174" t="s">
        <v>845</v>
      </c>
    </row>
    <row r="53" spans="1:84" ht="18">
      <c r="A53" s="183" t="s">
        <v>452</v>
      </c>
      <c r="B53" s="190">
        <v>5666</v>
      </c>
      <c r="C53" s="191" t="s">
        <v>458</v>
      </c>
      <c r="D53" s="191" t="s">
        <v>459</v>
      </c>
      <c r="E53" s="191" t="s">
        <v>1082</v>
      </c>
      <c r="F53" s="191" t="s">
        <v>179</v>
      </c>
      <c r="G53" s="192" t="s">
        <v>681</v>
      </c>
      <c r="H53" s="193" t="s">
        <v>858</v>
      </c>
      <c r="I53" s="193" t="s">
        <v>866</v>
      </c>
      <c r="J53" s="191" t="s">
        <v>654</v>
      </c>
      <c r="K53" s="193" t="s">
        <v>772</v>
      </c>
      <c r="L53" s="17" t="s">
        <v>814</v>
      </c>
      <c r="M53" s="17" t="s">
        <v>217</v>
      </c>
      <c r="N53" s="17" t="s">
        <v>150</v>
      </c>
      <c r="O53" s="17" t="s">
        <v>212</v>
      </c>
      <c r="P53" s="348">
        <v>46387</v>
      </c>
      <c r="Q53" s="191" t="s">
        <v>848</v>
      </c>
      <c r="R53" s="17" t="s">
        <v>1083</v>
      </c>
      <c r="S53" s="17" t="s">
        <v>188</v>
      </c>
      <c r="T53" s="17">
        <v>1</v>
      </c>
      <c r="U53" s="17" t="s">
        <v>1084</v>
      </c>
      <c r="V53" s="191" t="s">
        <v>860</v>
      </c>
      <c r="W53" s="191" t="s">
        <v>850</v>
      </c>
      <c r="X53" s="193" t="s">
        <v>715</v>
      </c>
      <c r="Y53" s="17" t="s">
        <v>661</v>
      </c>
      <c r="Z53" s="17" t="s">
        <v>915</v>
      </c>
      <c r="AA53" s="17" t="s">
        <v>150</v>
      </c>
      <c r="AB53" s="191" t="s">
        <v>150</v>
      </c>
      <c r="AC53" s="17" t="s">
        <v>188</v>
      </c>
      <c r="AD53" s="17" t="s">
        <v>664</v>
      </c>
      <c r="AE53" s="191" t="s">
        <v>138</v>
      </c>
      <c r="AF53" s="17" t="s">
        <v>150</v>
      </c>
      <c r="AG53" s="17" t="s">
        <v>150</v>
      </c>
      <c r="AH53" s="193" t="s">
        <v>1078</v>
      </c>
      <c r="AI53" s="193">
        <v>2</v>
      </c>
      <c r="AJ53" s="193" t="s">
        <v>1079</v>
      </c>
      <c r="AK53" s="193" t="s">
        <v>1085</v>
      </c>
      <c r="AL53" s="193">
        <v>1</v>
      </c>
      <c r="AM53" s="193" t="s">
        <v>1086</v>
      </c>
      <c r="AN53" s="193" t="s">
        <v>863</v>
      </c>
      <c r="AO53" s="193" t="s">
        <v>1087</v>
      </c>
      <c r="AP53" s="193" t="s">
        <v>1088</v>
      </c>
      <c r="AQ53" s="17" t="s">
        <v>196</v>
      </c>
      <c r="AR53" s="191" t="s">
        <v>461</v>
      </c>
      <c r="AS53" s="191" t="s">
        <v>462</v>
      </c>
      <c r="AT53" s="17" t="s">
        <v>150</v>
      </c>
      <c r="AU53" s="193" t="s">
        <v>216</v>
      </c>
      <c r="AV53" s="17" t="s">
        <v>199</v>
      </c>
      <c r="AW53" s="17" t="s">
        <v>150</v>
      </c>
      <c r="AX53" s="193" t="s">
        <v>217</v>
      </c>
      <c r="AY53" s="17" t="s">
        <v>173</v>
      </c>
      <c r="AZ53" s="17" t="s">
        <v>173</v>
      </c>
      <c r="BA53" s="17" t="s">
        <v>752</v>
      </c>
      <c r="BB53" s="17" t="s">
        <v>674</v>
      </c>
      <c r="BC53" s="17" t="s">
        <v>836</v>
      </c>
      <c r="BD53" s="191">
        <v>0</v>
      </c>
      <c r="BE53" s="191">
        <v>0</v>
      </c>
      <c r="BF53" s="17" t="s">
        <v>837</v>
      </c>
      <c r="BG53" s="17" t="s">
        <v>150</v>
      </c>
      <c r="BH53" s="17" t="s">
        <v>203</v>
      </c>
      <c r="BI53" s="17" t="s">
        <v>204</v>
      </c>
      <c r="BJ53" s="17" t="s">
        <v>170</v>
      </c>
      <c r="BK53" s="17">
        <v>1</v>
      </c>
      <c r="BL53" s="191" t="s">
        <v>170</v>
      </c>
      <c r="BM53" s="17">
        <v>5</v>
      </c>
      <c r="BN53" s="17">
        <v>1</v>
      </c>
      <c r="BO53" s="191">
        <v>20</v>
      </c>
      <c r="BP53" s="191" t="s">
        <v>932</v>
      </c>
      <c r="BQ53" s="191" t="s">
        <v>173</v>
      </c>
      <c r="BR53" s="191" t="s">
        <v>173</v>
      </c>
      <c r="BS53" s="191"/>
      <c r="BT53" s="191" t="s">
        <v>1081</v>
      </c>
      <c r="BU53" s="191"/>
      <c r="BV53" s="191"/>
      <c r="BW53" s="191" t="s">
        <v>216</v>
      </c>
      <c r="BX53" s="191" t="s">
        <v>776</v>
      </c>
      <c r="BY53" s="191" t="s">
        <v>776</v>
      </c>
      <c r="BZ53" s="302" cm="1">
        <f t="array" ref="BZ53">SUMPRODUCT(($B$4:$BY$4="Must have")*(B53:BY53&lt;&gt;"")*(UPPER(TRIM(B53:BY53))&lt;&gt;"TBD"))</f>
        <v>52</v>
      </c>
      <c r="CA53" s="302" cm="1">
        <f t="array" ref="CA53">SUMPRODUCT(($B$4:$BY$4="Must have")*((B53:BY53="")+(UPPER(TRIM(B53:BY53))="TBD")))</f>
        <v>0</v>
      </c>
      <c r="CB53" s="302" cm="1">
        <f t="array" ref="CB53">SUMPRODUCT(($B$4:$BY$4="Good to have")*(B53:BY53&lt;&gt;"")*(UPPER(TRIM(B53:BY53))&lt;&gt;"TBD"))</f>
        <v>20</v>
      </c>
      <c r="CC53" s="302" cm="1">
        <f t="array" ref="CC53">SUMPRODUCT(($B$4:$BY$4="Good to have")*((B53:BY53="")+(UPPER(TRIM(B53:BY53))="TBD")))</f>
        <v>3</v>
      </c>
      <c r="CD53" s="175" t="str">
        <f t="shared" si="1"/>
        <v>96%</v>
      </c>
      <c r="CF53" s="174" t="s">
        <v>845</v>
      </c>
    </row>
    <row r="54" spans="1:84" ht="18">
      <c r="A54" s="183" t="s">
        <v>457</v>
      </c>
      <c r="B54" s="190">
        <v>5668</v>
      </c>
      <c r="C54" s="191" t="s">
        <v>464</v>
      </c>
      <c r="D54" s="191" t="s">
        <v>465</v>
      </c>
      <c r="E54" s="191" t="s">
        <v>868</v>
      </c>
      <c r="F54" s="191" t="s">
        <v>179</v>
      </c>
      <c r="G54" s="192" t="s">
        <v>681</v>
      </c>
      <c r="H54" s="193" t="s">
        <v>216</v>
      </c>
      <c r="I54" s="193" t="s">
        <v>546</v>
      </c>
      <c r="J54" s="191" t="s">
        <v>654</v>
      </c>
      <c r="K54" s="193" t="s">
        <v>772</v>
      </c>
      <c r="L54" s="17" t="s">
        <v>920</v>
      </c>
      <c r="M54" s="17" t="s">
        <v>438</v>
      </c>
      <c r="N54" s="17" t="s">
        <v>150</v>
      </c>
      <c r="O54" s="17" t="s">
        <v>223</v>
      </c>
      <c r="P54" s="348">
        <v>46387</v>
      </c>
      <c r="Q54" s="191" t="s">
        <v>848</v>
      </c>
      <c r="R54" s="17" t="s">
        <v>1089</v>
      </c>
      <c r="S54" s="17" t="s">
        <v>188</v>
      </c>
      <c r="T54" s="17">
        <v>2</v>
      </c>
      <c r="U54" s="324" t="s">
        <v>189</v>
      </c>
      <c r="V54" s="191" t="s">
        <v>658</v>
      </c>
      <c r="W54" s="191" t="s">
        <v>850</v>
      </c>
      <c r="X54" s="193" t="s">
        <v>715</v>
      </c>
      <c r="Y54" s="17" t="s">
        <v>661</v>
      </c>
      <c r="Z54" s="17" t="s">
        <v>915</v>
      </c>
      <c r="AA54" s="17" t="s">
        <v>150</v>
      </c>
      <c r="AB54" s="191" t="s">
        <v>150</v>
      </c>
      <c r="AC54" s="17" t="s">
        <v>663</v>
      </c>
      <c r="AD54" s="17" t="s">
        <v>664</v>
      </c>
      <c r="AE54" s="191" t="s">
        <v>150</v>
      </c>
      <c r="AF54" s="17" t="s">
        <v>150</v>
      </c>
      <c r="AG54" s="17" t="s">
        <v>150</v>
      </c>
      <c r="AH54" s="193" t="s">
        <v>1090</v>
      </c>
      <c r="AI54" s="193">
        <v>1</v>
      </c>
      <c r="AJ54" s="193" t="s">
        <v>1038</v>
      </c>
      <c r="AK54" s="193" t="s">
        <v>1091</v>
      </c>
      <c r="AL54" s="193">
        <v>0</v>
      </c>
      <c r="AM54" s="193" t="s">
        <v>810</v>
      </c>
      <c r="AN54" s="193" t="s">
        <v>863</v>
      </c>
      <c r="AO54" s="193" t="s">
        <v>1092</v>
      </c>
      <c r="AP54" s="193">
        <v>0</v>
      </c>
      <c r="AQ54" s="17"/>
      <c r="AR54" s="191" t="s">
        <v>466</v>
      </c>
      <c r="AS54" s="191"/>
      <c r="AT54" s="17" t="s">
        <v>150</v>
      </c>
      <c r="AU54" s="193" t="s">
        <v>216</v>
      </c>
      <c r="AV54" s="17" t="s">
        <v>199</v>
      </c>
      <c r="AW54" s="17" t="s">
        <v>150</v>
      </c>
      <c r="AX54" s="193" t="s">
        <v>216</v>
      </c>
      <c r="AY54" s="17"/>
      <c r="AZ54" s="17" t="s">
        <v>216</v>
      </c>
      <c r="BA54" s="17" t="s">
        <v>752</v>
      </c>
      <c r="BB54" s="17" t="s">
        <v>201</v>
      </c>
      <c r="BC54" s="17" t="s">
        <v>836</v>
      </c>
      <c r="BD54" s="191">
        <v>1</v>
      </c>
      <c r="BE54" s="191">
        <v>0</v>
      </c>
      <c r="BF54" s="17" t="s">
        <v>1093</v>
      </c>
      <c r="BG54" s="17" t="s">
        <v>150</v>
      </c>
      <c r="BH54" s="17" t="s">
        <v>168</v>
      </c>
      <c r="BI54" s="17" t="s">
        <v>169</v>
      </c>
      <c r="BJ54" s="17" t="s">
        <v>170</v>
      </c>
      <c r="BK54" s="17">
        <v>2</v>
      </c>
      <c r="BL54" s="191" t="s">
        <v>170</v>
      </c>
      <c r="BM54" s="17" t="s">
        <v>1094</v>
      </c>
      <c r="BN54" s="17" t="s">
        <v>1095</v>
      </c>
      <c r="BO54" s="191">
        <v>47</v>
      </c>
      <c r="BP54" s="323" t="s">
        <v>1096</v>
      </c>
      <c r="BQ54" s="191" t="s">
        <v>216</v>
      </c>
      <c r="BR54" s="191" t="s">
        <v>216</v>
      </c>
      <c r="BS54" s="191" t="s">
        <v>215</v>
      </c>
      <c r="BT54" s="191" t="s">
        <v>1081</v>
      </c>
      <c r="BU54" s="191" t="s">
        <v>546</v>
      </c>
      <c r="BV54" s="191"/>
      <c r="BW54" s="191" t="s">
        <v>216</v>
      </c>
      <c r="BX54" s="191" t="s">
        <v>216</v>
      </c>
      <c r="BY54" s="191" t="s">
        <v>216</v>
      </c>
      <c r="BZ54" s="302" cm="1">
        <f t="array" ref="BZ54">SUMPRODUCT(($B$4:$BY$4="Must have")*(B54:BY54&lt;&gt;"")*(UPPER(TRIM(B54:BY54))&lt;&gt;"TBD"))</f>
        <v>49</v>
      </c>
      <c r="CA54" s="302" cm="1">
        <f t="array" ref="CA54">SUMPRODUCT(($B$4:$BY$4="Must have")*((B54:BY54="")+(UPPER(TRIM(B54:BY54))="TBD")))</f>
        <v>3</v>
      </c>
      <c r="CB54" s="302" cm="1">
        <f t="array" ref="CB54">SUMPRODUCT(($B$4:$BY$4="Good to have")*(B54:BY54&lt;&gt;"")*(UPPER(TRIM(B54:BY54))&lt;&gt;"TBD"))</f>
        <v>21</v>
      </c>
      <c r="CC54" s="302" cm="1">
        <f t="array" ref="CC54">SUMPRODUCT(($B$4:$BY$4="Good to have")*((B54:BY54="")+(UPPER(TRIM(B54:BY54))="TBD")))</f>
        <v>2</v>
      </c>
      <c r="CD54" s="175" t="str">
        <f t="shared" si="1"/>
        <v>93.33%</v>
      </c>
      <c r="CF54" s="174" t="s">
        <v>845</v>
      </c>
    </row>
    <row r="55" spans="1:84" ht="18">
      <c r="A55" s="183" t="s">
        <v>463</v>
      </c>
      <c r="B55" s="190">
        <v>5670</v>
      </c>
      <c r="C55" s="191" t="s">
        <v>468</v>
      </c>
      <c r="D55" s="191" t="s">
        <v>469</v>
      </c>
      <c r="E55" s="191" t="s">
        <v>868</v>
      </c>
      <c r="F55" s="191" t="s">
        <v>179</v>
      </c>
      <c r="G55" s="192" t="s">
        <v>681</v>
      </c>
      <c r="H55" s="193" t="s">
        <v>905</v>
      </c>
      <c r="I55" s="193" t="s">
        <v>439</v>
      </c>
      <c r="J55" s="191" t="s">
        <v>654</v>
      </c>
      <c r="K55" s="193" t="s">
        <v>772</v>
      </c>
      <c r="L55" s="17" t="s">
        <v>814</v>
      </c>
      <c r="M55" s="17" t="s">
        <v>816</v>
      </c>
      <c r="N55" s="17" t="s">
        <v>138</v>
      </c>
      <c r="O55" s="17" t="s">
        <v>212</v>
      </c>
      <c r="P55" s="348">
        <v>46387</v>
      </c>
      <c r="Q55" s="191" t="s">
        <v>848</v>
      </c>
      <c r="R55" s="17" t="s">
        <v>1097</v>
      </c>
      <c r="S55" s="17" t="s">
        <v>663</v>
      </c>
      <c r="T55" s="17">
        <v>1</v>
      </c>
      <c r="U55" s="307" t="s">
        <v>189</v>
      </c>
      <c r="V55" s="191" t="s">
        <v>173</v>
      </c>
      <c r="W55" s="191" t="s">
        <v>173</v>
      </c>
      <c r="X55" s="193" t="s">
        <v>715</v>
      </c>
      <c r="Y55" s="17" t="s">
        <v>661</v>
      </c>
      <c r="Z55" s="17" t="s">
        <v>662</v>
      </c>
      <c r="AA55" s="17" t="s">
        <v>150</v>
      </c>
      <c r="AB55" s="191" t="s">
        <v>150</v>
      </c>
      <c r="AC55" s="17" t="s">
        <v>663</v>
      </c>
      <c r="AD55" s="17" t="s">
        <v>664</v>
      </c>
      <c r="AE55" s="191" t="s">
        <v>150</v>
      </c>
      <c r="AF55" s="17" t="s">
        <v>150</v>
      </c>
      <c r="AG55" s="17" t="s">
        <v>150</v>
      </c>
      <c r="AH55" s="193" t="s">
        <v>1067</v>
      </c>
      <c r="AI55" s="193">
        <v>1</v>
      </c>
      <c r="AJ55" s="193" t="s">
        <v>1038</v>
      </c>
      <c r="AK55" s="193" t="s">
        <v>173</v>
      </c>
      <c r="AL55" s="193" t="s">
        <v>173</v>
      </c>
      <c r="AM55" s="193" t="s">
        <v>173</v>
      </c>
      <c r="AN55" s="193" t="s">
        <v>863</v>
      </c>
      <c r="AO55" s="193" t="s">
        <v>1098</v>
      </c>
      <c r="AP55" s="193">
        <v>0</v>
      </c>
      <c r="AQ55" s="17" t="s">
        <v>156</v>
      </c>
      <c r="AR55" s="191" t="s">
        <v>470</v>
      </c>
      <c r="AS55" s="191" t="s">
        <v>468</v>
      </c>
      <c r="AT55" s="17" t="s">
        <v>150</v>
      </c>
      <c r="AU55" s="193" t="s">
        <v>417</v>
      </c>
      <c r="AV55" s="17" t="s">
        <v>199</v>
      </c>
      <c r="AW55" s="17" t="s">
        <v>150</v>
      </c>
      <c r="AX55" s="193" t="s">
        <v>160</v>
      </c>
      <c r="AY55" s="17" t="s">
        <v>173</v>
      </c>
      <c r="AZ55" s="17" t="s">
        <v>173</v>
      </c>
      <c r="BA55" s="17" t="s">
        <v>752</v>
      </c>
      <c r="BB55" s="17" t="s">
        <v>674</v>
      </c>
      <c r="BC55" s="17" t="s">
        <v>836</v>
      </c>
      <c r="BD55" s="191">
        <v>5</v>
      </c>
      <c r="BE55" s="191">
        <v>0</v>
      </c>
      <c r="BF55" s="17" t="s">
        <v>837</v>
      </c>
      <c r="BG55" s="17" t="s">
        <v>150</v>
      </c>
      <c r="BH55" s="17" t="s">
        <v>203</v>
      </c>
      <c r="BI55" s="17" t="s">
        <v>204</v>
      </c>
      <c r="BJ55" s="17" t="s">
        <v>170</v>
      </c>
      <c r="BK55" s="17">
        <v>2</v>
      </c>
      <c r="BL55" s="191" t="s">
        <v>170</v>
      </c>
      <c r="BM55" s="17">
        <v>5</v>
      </c>
      <c r="BN55" s="17">
        <v>1</v>
      </c>
      <c r="BO55" s="191">
        <v>20</v>
      </c>
      <c r="BP55" s="323" t="s">
        <v>932</v>
      </c>
      <c r="BQ55" s="191" t="s">
        <v>173</v>
      </c>
      <c r="BR55" s="191" t="s">
        <v>173</v>
      </c>
      <c r="BS55" s="191"/>
      <c r="BT55" s="191" t="s">
        <v>925</v>
      </c>
      <c r="BU55" s="191" t="s">
        <v>439</v>
      </c>
      <c r="BV55" s="191" t="s">
        <v>1099</v>
      </c>
      <c r="BW55" s="191" t="s">
        <v>842</v>
      </c>
      <c r="BX55" s="191" t="s">
        <v>843</v>
      </c>
      <c r="BY55" s="191" t="s">
        <v>844</v>
      </c>
      <c r="BZ55" s="302" cm="1">
        <f t="array" ref="BZ55">SUMPRODUCT(($B$4:$BY$4="Must have")*(B55:BY55&lt;&gt;"")*(UPPER(TRIM(B55:BY55))&lt;&gt;"TBD"))</f>
        <v>52</v>
      </c>
      <c r="CA55" s="302" cm="1">
        <f t="array" ref="CA55">SUMPRODUCT(($B$4:$BY$4="Must have")*((B55:BY55="")+(UPPER(TRIM(B55:BY55))="TBD")))</f>
        <v>0</v>
      </c>
      <c r="CB55" s="302" cm="1">
        <f t="array" ref="CB55">SUMPRODUCT(($B$4:$BY$4="Good to have")*(B55:BY55&lt;&gt;"")*(UPPER(TRIM(B55:BY55))&lt;&gt;"TBD"))</f>
        <v>22</v>
      </c>
      <c r="CC55" s="302" cm="1">
        <f t="array" ref="CC55">SUMPRODUCT(($B$4:$BY$4="Good to have")*((B55:BY55="")+(UPPER(TRIM(B55:BY55))="TBD")))</f>
        <v>1</v>
      </c>
      <c r="CD55" s="175" t="str">
        <f t="shared" si="1"/>
        <v>98.67%</v>
      </c>
      <c r="CF55" s="174" t="s">
        <v>845</v>
      </c>
    </row>
    <row r="56" spans="1:84" ht="18">
      <c r="A56" s="183" t="s">
        <v>467</v>
      </c>
      <c r="B56" s="190">
        <v>5713</v>
      </c>
      <c r="C56" s="191" t="s">
        <v>477</v>
      </c>
      <c r="D56" s="191" t="s">
        <v>478</v>
      </c>
      <c r="E56" s="191" t="s">
        <v>1082</v>
      </c>
      <c r="F56" s="191" t="s">
        <v>179</v>
      </c>
      <c r="G56" s="192" t="s">
        <v>681</v>
      </c>
      <c r="H56" s="193" t="s">
        <v>1100</v>
      </c>
      <c r="I56" s="193" t="s">
        <v>892</v>
      </c>
      <c r="J56" s="191" t="s">
        <v>1064</v>
      </c>
      <c r="K56" s="193" t="s">
        <v>772</v>
      </c>
      <c r="L56" s="17" t="s">
        <v>1042</v>
      </c>
      <c r="M56" s="17" t="s">
        <v>1042</v>
      </c>
      <c r="N56" s="17" t="s">
        <v>150</v>
      </c>
      <c r="O56" s="17" t="s">
        <v>212</v>
      </c>
      <c r="P56" s="348">
        <v>46387</v>
      </c>
      <c r="Q56" s="191" t="s">
        <v>848</v>
      </c>
      <c r="R56" s="17" t="s">
        <v>1101</v>
      </c>
      <c r="S56" s="17" t="s">
        <v>663</v>
      </c>
      <c r="T56" s="17">
        <v>1</v>
      </c>
      <c r="U56" s="17" t="s">
        <v>895</v>
      </c>
      <c r="V56" s="191" t="s">
        <v>173</v>
      </c>
      <c r="W56" s="191" t="s">
        <v>173</v>
      </c>
      <c r="X56" s="193" t="s">
        <v>715</v>
      </c>
      <c r="Y56" s="17" t="s">
        <v>661</v>
      </c>
      <c r="Z56" s="17" t="s">
        <v>915</v>
      </c>
      <c r="AA56" s="17" t="s">
        <v>150</v>
      </c>
      <c r="AB56" s="191" t="s">
        <v>150</v>
      </c>
      <c r="AC56" s="17" t="s">
        <v>663</v>
      </c>
      <c r="AD56" s="17" t="s">
        <v>191</v>
      </c>
      <c r="AE56" s="191" t="s">
        <v>150</v>
      </c>
      <c r="AF56" s="17" t="s">
        <v>150</v>
      </c>
      <c r="AG56" s="17" t="s">
        <v>150</v>
      </c>
      <c r="AH56" s="193" t="s">
        <v>1067</v>
      </c>
      <c r="AI56" s="193">
        <v>1</v>
      </c>
      <c r="AJ56" s="193" t="s">
        <v>1102</v>
      </c>
      <c r="AK56" s="193" t="s">
        <v>173</v>
      </c>
      <c r="AL56" s="193" t="s">
        <v>173</v>
      </c>
      <c r="AM56" s="193" t="s">
        <v>173</v>
      </c>
      <c r="AN56" s="193" t="s">
        <v>863</v>
      </c>
      <c r="AO56" s="193" t="s">
        <v>1103</v>
      </c>
      <c r="AP56" s="193">
        <v>0</v>
      </c>
      <c r="AQ56" s="17" t="s">
        <v>156</v>
      </c>
      <c r="AR56" s="191" t="s">
        <v>475</v>
      </c>
      <c r="AS56" s="191" t="s">
        <v>479</v>
      </c>
      <c r="AT56" s="17" t="s">
        <v>150</v>
      </c>
      <c r="AU56" s="193" t="s">
        <v>216</v>
      </c>
      <c r="AV56" s="193" t="s">
        <v>216</v>
      </c>
      <c r="AW56" s="17" t="s">
        <v>150</v>
      </c>
      <c r="AX56" s="193" t="s">
        <v>217</v>
      </c>
      <c r="AY56" s="17" t="s">
        <v>173</v>
      </c>
      <c r="AZ56" s="17" t="s">
        <v>173</v>
      </c>
      <c r="BA56" s="17" t="s">
        <v>752</v>
      </c>
      <c r="BB56" s="17" t="s">
        <v>674</v>
      </c>
      <c r="BC56" s="17" t="s">
        <v>836</v>
      </c>
      <c r="BD56" s="191">
        <v>0</v>
      </c>
      <c r="BE56" s="191">
        <v>0</v>
      </c>
      <c r="BF56" s="17" t="s">
        <v>837</v>
      </c>
      <c r="BG56" s="17" t="s">
        <v>150</v>
      </c>
      <c r="BH56" s="17" t="s">
        <v>168</v>
      </c>
      <c r="BI56" s="17" t="s">
        <v>204</v>
      </c>
      <c r="BJ56" s="17" t="s">
        <v>170</v>
      </c>
      <c r="BK56" s="17">
        <v>1</v>
      </c>
      <c r="BL56" s="191" t="s">
        <v>170</v>
      </c>
      <c r="BM56" s="17">
        <v>3</v>
      </c>
      <c r="BN56" s="17">
        <v>1</v>
      </c>
      <c r="BO56" s="191">
        <v>20</v>
      </c>
      <c r="BP56" s="191" t="s">
        <v>1104</v>
      </c>
      <c r="BQ56" s="191" t="s">
        <v>173</v>
      </c>
      <c r="BR56" s="191" t="s">
        <v>173</v>
      </c>
      <c r="BS56" s="191"/>
      <c r="BT56" s="191" t="s">
        <v>1081</v>
      </c>
      <c r="BU56" s="191" t="s">
        <v>933</v>
      </c>
      <c r="BV56" s="191"/>
      <c r="BW56" s="191" t="s">
        <v>216</v>
      </c>
      <c r="BX56" s="191" t="s">
        <v>776</v>
      </c>
      <c r="BY56" s="191" t="s">
        <v>776</v>
      </c>
      <c r="BZ56" s="302" cm="1">
        <f t="array" ref="BZ56">SUMPRODUCT(($B$4:$BY$4="Must have")*(B56:BY56&lt;&gt;"")*(UPPER(TRIM(B56:BY56))&lt;&gt;"TBD"))</f>
        <v>52</v>
      </c>
      <c r="CA56" s="302" cm="1">
        <f t="array" ref="CA56">SUMPRODUCT(($B$4:$BY$4="Must have")*((B56:BY56="")+(UPPER(TRIM(B56:BY56))="TBD")))</f>
        <v>0</v>
      </c>
      <c r="CB56" s="302" cm="1">
        <f t="array" ref="CB56">SUMPRODUCT(($B$4:$BY$4="Good to have")*(B56:BY56&lt;&gt;"")*(UPPER(TRIM(B56:BY56))&lt;&gt;"TBD"))</f>
        <v>21</v>
      </c>
      <c r="CC56" s="302" cm="1">
        <f t="array" ref="CC56">SUMPRODUCT(($B$4:$BY$4="Good to have")*((B56:BY56="")+(UPPER(TRIM(B56:BY56))="TBD")))</f>
        <v>2</v>
      </c>
      <c r="CD56" s="175" t="str">
        <f t="shared" si="1"/>
        <v>97.33%</v>
      </c>
      <c r="CF56" s="174" t="s">
        <v>845</v>
      </c>
    </row>
    <row r="57" spans="1:84" ht="18">
      <c r="A57" s="183" t="s">
        <v>471</v>
      </c>
      <c r="B57" s="190">
        <v>5717</v>
      </c>
      <c r="C57" s="191" t="s">
        <v>481</v>
      </c>
      <c r="D57" s="191" t="s">
        <v>481</v>
      </c>
      <c r="E57" s="191" t="s">
        <v>868</v>
      </c>
      <c r="F57" s="191" t="s">
        <v>179</v>
      </c>
      <c r="G57" s="192" t="s">
        <v>681</v>
      </c>
      <c r="H57" s="193" t="s">
        <v>905</v>
      </c>
      <c r="I57" s="193" t="s">
        <v>1105</v>
      </c>
      <c r="J57" s="191" t="s">
        <v>948</v>
      </c>
      <c r="K57" s="193" t="s">
        <v>772</v>
      </c>
      <c r="L57" s="17" t="s">
        <v>814</v>
      </c>
      <c r="M57" s="17" t="s">
        <v>438</v>
      </c>
      <c r="N57" s="17" t="s">
        <v>150</v>
      </c>
      <c r="O57" s="17" t="s">
        <v>212</v>
      </c>
      <c r="P57" s="348">
        <v>46387</v>
      </c>
      <c r="Q57" s="191" t="s">
        <v>848</v>
      </c>
      <c r="R57" s="17" t="s">
        <v>342</v>
      </c>
      <c r="S57" s="17" t="s">
        <v>188</v>
      </c>
      <c r="T57" s="17">
        <v>1</v>
      </c>
      <c r="U57" s="17" t="s">
        <v>138</v>
      </c>
      <c r="V57" s="191" t="s">
        <v>173</v>
      </c>
      <c r="W57" s="191" t="s">
        <v>173</v>
      </c>
      <c r="X57" s="193" t="s">
        <v>715</v>
      </c>
      <c r="Y57" s="17" t="s">
        <v>661</v>
      </c>
      <c r="Z57" s="17" t="s">
        <v>915</v>
      </c>
      <c r="AA57" s="17" t="s">
        <v>150</v>
      </c>
      <c r="AB57" s="191" t="s">
        <v>150</v>
      </c>
      <c r="AC57" s="17" t="s">
        <v>188</v>
      </c>
      <c r="AD57" s="17" t="s">
        <v>664</v>
      </c>
      <c r="AE57" s="191" t="s">
        <v>138</v>
      </c>
      <c r="AF57" s="17" t="s">
        <v>150</v>
      </c>
      <c r="AG57" s="17" t="s">
        <v>150</v>
      </c>
      <c r="AH57" s="223" t="s">
        <v>1106</v>
      </c>
      <c r="AI57" s="223">
        <v>3</v>
      </c>
      <c r="AJ57" s="223" t="s">
        <v>1102</v>
      </c>
      <c r="AK57" s="223" t="s">
        <v>173</v>
      </c>
      <c r="AL57" s="223" t="s">
        <v>173</v>
      </c>
      <c r="AM57" s="223" t="s">
        <v>173</v>
      </c>
      <c r="AN57" s="193" t="s">
        <v>863</v>
      </c>
      <c r="AO57" s="193" t="s">
        <v>1107</v>
      </c>
      <c r="AP57" s="193">
        <v>0</v>
      </c>
      <c r="AQ57" s="17" t="s">
        <v>156</v>
      </c>
      <c r="AR57" s="191" t="s">
        <v>482</v>
      </c>
      <c r="AS57" s="191" t="s">
        <v>443</v>
      </c>
      <c r="AT57" s="17" t="s">
        <v>150</v>
      </c>
      <c r="AU57" s="193" t="s">
        <v>216</v>
      </c>
      <c r="AV57" s="193" t="s">
        <v>216</v>
      </c>
      <c r="AW57" s="17" t="s">
        <v>150</v>
      </c>
      <c r="AX57" s="193" t="s">
        <v>217</v>
      </c>
      <c r="AY57" s="17" t="s">
        <v>216</v>
      </c>
      <c r="AZ57" s="17" t="s">
        <v>173</v>
      </c>
      <c r="BA57" s="17" t="s">
        <v>752</v>
      </c>
      <c r="BB57" s="17" t="s">
        <v>674</v>
      </c>
      <c r="BC57" s="17" t="s">
        <v>836</v>
      </c>
      <c r="BD57" s="191">
        <v>2</v>
      </c>
      <c r="BE57" s="191">
        <v>0</v>
      </c>
      <c r="BF57" s="17" t="s">
        <v>837</v>
      </c>
      <c r="BG57" s="17" t="s">
        <v>150</v>
      </c>
      <c r="BH57" s="17" t="s">
        <v>203</v>
      </c>
      <c r="BI57" s="17" t="s">
        <v>204</v>
      </c>
      <c r="BJ57" s="17" t="s">
        <v>170</v>
      </c>
      <c r="BK57" s="17">
        <v>2</v>
      </c>
      <c r="BL57" s="191" t="s">
        <v>170</v>
      </c>
      <c r="BM57" s="17">
        <v>1</v>
      </c>
      <c r="BN57" s="17" t="s">
        <v>173</v>
      </c>
      <c r="BO57" s="191">
        <v>3</v>
      </c>
      <c r="BP57" s="174" t="s">
        <v>1108</v>
      </c>
      <c r="BQ57" s="191" t="s">
        <v>173</v>
      </c>
      <c r="BR57" s="191" t="s">
        <v>173</v>
      </c>
      <c r="BS57" s="191"/>
      <c r="BT57" s="191" t="s">
        <v>443</v>
      </c>
      <c r="BU57" s="191" t="s">
        <v>1109</v>
      </c>
      <c r="BV57" s="191"/>
      <c r="BW57" s="191" t="s">
        <v>216</v>
      </c>
      <c r="BX57" s="191" t="s">
        <v>776</v>
      </c>
      <c r="BY57" s="191" t="s">
        <v>776</v>
      </c>
      <c r="BZ57" s="302" cm="1">
        <f t="array" ref="BZ57">SUMPRODUCT(($B$4:$BY$4="Must have")*(B57:BY57&lt;&gt;"")*(UPPER(TRIM(B57:BY57))&lt;&gt;"TBD"))</f>
        <v>52</v>
      </c>
      <c r="CA57" s="302" cm="1">
        <f t="array" ref="CA57">SUMPRODUCT(($B$4:$BY$4="Must have")*((B57:BY57="")+(UPPER(TRIM(B57:BY57))="TBD")))</f>
        <v>0</v>
      </c>
      <c r="CB57" s="302" cm="1">
        <f t="array" ref="CB57">SUMPRODUCT(($B$4:$BY$4="Good to have")*(B57:BY57&lt;&gt;"")*(UPPER(TRIM(B57:BY57))&lt;&gt;"TBD"))</f>
        <v>21</v>
      </c>
      <c r="CC57" s="302" cm="1">
        <f t="array" ref="CC57">SUMPRODUCT(($B$4:$BY$4="Good to have")*((B57:BY57="")+(UPPER(TRIM(B57:BY57))="TBD")))</f>
        <v>2</v>
      </c>
      <c r="CD57" s="175" t="str">
        <f t="shared" si="1"/>
        <v>97.33%</v>
      </c>
      <c r="CF57" s="174" t="s">
        <v>845</v>
      </c>
    </row>
    <row r="58" spans="1:84" ht="18">
      <c r="A58" s="183" t="s">
        <v>476</v>
      </c>
      <c r="B58" s="190">
        <v>5720</v>
      </c>
      <c r="C58" s="191" t="s">
        <v>484</v>
      </c>
      <c r="D58" s="191" t="s">
        <v>485</v>
      </c>
      <c r="E58" s="191" t="s">
        <v>868</v>
      </c>
      <c r="F58" s="191" t="s">
        <v>179</v>
      </c>
      <c r="G58" s="192" t="s">
        <v>681</v>
      </c>
      <c r="H58" s="193" t="s">
        <v>1110</v>
      </c>
      <c r="I58" s="193" t="s">
        <v>933</v>
      </c>
      <c r="J58" s="191" t="s">
        <v>654</v>
      </c>
      <c r="K58" s="193" t="s">
        <v>1111</v>
      </c>
      <c r="L58" s="17" t="s">
        <v>814</v>
      </c>
      <c r="M58" s="17" t="s">
        <v>816</v>
      </c>
      <c r="N58" s="17" t="s">
        <v>138</v>
      </c>
      <c r="O58" s="17" t="s">
        <v>212</v>
      </c>
      <c r="P58" s="348">
        <v>46387</v>
      </c>
      <c r="Q58" s="191" t="s">
        <v>848</v>
      </c>
      <c r="R58" s="17" t="s">
        <v>342</v>
      </c>
      <c r="S58" s="17" t="s">
        <v>188</v>
      </c>
      <c r="T58" s="17">
        <v>1</v>
      </c>
      <c r="U58" s="307" t="s">
        <v>951</v>
      </c>
      <c r="V58" s="191" t="s">
        <v>216</v>
      </c>
      <c r="W58" s="191" t="s">
        <v>850</v>
      </c>
      <c r="X58" s="193" t="s">
        <v>715</v>
      </c>
      <c r="Y58" s="17" t="s">
        <v>190</v>
      </c>
      <c r="Z58" s="17" t="s">
        <v>662</v>
      </c>
      <c r="AA58" s="17" t="s">
        <v>150</v>
      </c>
      <c r="AB58" s="191" t="s">
        <v>150</v>
      </c>
      <c r="AC58" s="17" t="s">
        <v>663</v>
      </c>
      <c r="AD58" s="17" t="s">
        <v>191</v>
      </c>
      <c r="AE58" s="191" t="s">
        <v>150</v>
      </c>
      <c r="AF58" s="17" t="s">
        <v>150</v>
      </c>
      <c r="AG58" s="17" t="s">
        <v>150</v>
      </c>
      <c r="AH58" s="193" t="s">
        <v>1112</v>
      </c>
      <c r="AI58" s="193">
        <v>1</v>
      </c>
      <c r="AJ58" s="193" t="s">
        <v>1036</v>
      </c>
      <c r="AK58" s="193" t="s">
        <v>1113</v>
      </c>
      <c r="AL58" s="193">
        <v>2</v>
      </c>
      <c r="AM58" s="193" t="s">
        <v>1114</v>
      </c>
      <c r="AN58" s="193" t="s">
        <v>863</v>
      </c>
      <c r="AO58" s="193" t="s">
        <v>1113</v>
      </c>
      <c r="AP58" s="193">
        <v>0</v>
      </c>
      <c r="AQ58" s="17" t="s">
        <v>196</v>
      </c>
      <c r="AR58" s="191" t="s">
        <v>486</v>
      </c>
      <c r="AS58" s="191" t="s">
        <v>487</v>
      </c>
      <c r="AT58" s="17" t="s">
        <v>150</v>
      </c>
      <c r="AU58" s="193" t="s">
        <v>216</v>
      </c>
      <c r="AV58" s="17" t="s">
        <v>199</v>
      </c>
      <c r="AW58" s="17" t="s">
        <v>150</v>
      </c>
      <c r="AX58" s="193" t="s">
        <v>217</v>
      </c>
      <c r="AY58" s="17" t="s">
        <v>216</v>
      </c>
      <c r="AZ58" s="17" t="s">
        <v>216</v>
      </c>
      <c r="BA58" s="17" t="s">
        <v>752</v>
      </c>
      <c r="BB58" s="17" t="s">
        <v>201</v>
      </c>
      <c r="BC58" s="17" t="s">
        <v>836</v>
      </c>
      <c r="BD58" s="191">
        <v>20</v>
      </c>
      <c r="BE58" s="191">
        <v>0</v>
      </c>
      <c r="BF58" s="17" t="s">
        <v>837</v>
      </c>
      <c r="BG58" s="17" t="s">
        <v>150</v>
      </c>
      <c r="BH58" s="17" t="s">
        <v>168</v>
      </c>
      <c r="BI58" s="17" t="s">
        <v>204</v>
      </c>
      <c r="BJ58" s="17" t="s">
        <v>171</v>
      </c>
      <c r="BK58" s="17">
        <v>2</v>
      </c>
      <c r="BL58" s="191" t="s">
        <v>170</v>
      </c>
      <c r="BM58" s="17">
        <v>4</v>
      </c>
      <c r="BN58" s="17">
        <v>4</v>
      </c>
      <c r="BO58" s="191">
        <v>47</v>
      </c>
      <c r="BP58" s="191" t="s">
        <v>932</v>
      </c>
      <c r="BQ58" s="191" t="s">
        <v>1115</v>
      </c>
      <c r="BR58" s="191" t="s">
        <v>216</v>
      </c>
      <c r="BS58" s="191" t="s">
        <v>215</v>
      </c>
      <c r="BT58" s="191" t="s">
        <v>998</v>
      </c>
      <c r="BU58" s="191" t="s">
        <v>933</v>
      </c>
      <c r="BV58" s="191"/>
      <c r="BW58" s="191" t="s">
        <v>216</v>
      </c>
      <c r="BX58" s="191" t="s">
        <v>776</v>
      </c>
      <c r="BY58" s="191" t="s">
        <v>776</v>
      </c>
      <c r="BZ58" s="302" cm="1">
        <f t="array" ref="BZ58">SUMPRODUCT(($B$4:$BY$4="Must have")*(B58:BY58&lt;&gt;"")*(UPPER(TRIM(B58:BY58))&lt;&gt;"TBD"))</f>
        <v>52</v>
      </c>
      <c r="CA58" s="302" cm="1">
        <f t="array" ref="CA58">SUMPRODUCT(($B$4:$BY$4="Must have")*((B58:BY58="")+(UPPER(TRIM(B58:BY58))="TBD")))</f>
        <v>0</v>
      </c>
      <c r="CB58" s="302" cm="1">
        <f t="array" ref="CB58">SUMPRODUCT(($B$4:$BY$4="Good to have")*(B58:BY58&lt;&gt;"")*(UPPER(TRIM(B58:BY58))&lt;&gt;"TBD"))</f>
        <v>21</v>
      </c>
      <c r="CC58" s="302" cm="1">
        <f t="array" ref="CC58">SUMPRODUCT(($B$4:$BY$4="Good to have")*((B58:BY58="")+(UPPER(TRIM(B58:BY58))="TBD")))</f>
        <v>2</v>
      </c>
      <c r="CD58" s="175" t="str">
        <f t="shared" si="1"/>
        <v>97.33%</v>
      </c>
      <c r="CF58" s="174" t="s">
        <v>845</v>
      </c>
    </row>
    <row r="59" spans="1:84" ht="18">
      <c r="A59" s="183" t="s">
        <v>480</v>
      </c>
      <c r="B59" s="190">
        <v>6010</v>
      </c>
      <c r="C59" s="191" t="s">
        <v>489</v>
      </c>
      <c r="D59" s="191" t="s">
        <v>1116</v>
      </c>
      <c r="E59" s="191" t="s">
        <v>868</v>
      </c>
      <c r="F59" s="191" t="s">
        <v>179</v>
      </c>
      <c r="G59" s="192" t="s">
        <v>681</v>
      </c>
      <c r="H59" s="193" t="s">
        <v>1070</v>
      </c>
      <c r="I59" s="310" t="s">
        <v>820</v>
      </c>
      <c r="J59" s="191" t="s">
        <v>654</v>
      </c>
      <c r="K59" s="193" t="s">
        <v>182</v>
      </c>
      <c r="L59" s="17" t="s">
        <v>655</v>
      </c>
      <c r="M59" s="17" t="s">
        <v>438</v>
      </c>
      <c r="N59" s="17" t="s">
        <v>138</v>
      </c>
      <c r="O59" s="17" t="s">
        <v>223</v>
      </c>
      <c r="P59" s="348">
        <v>46507</v>
      </c>
      <c r="Q59" s="191" t="s">
        <v>848</v>
      </c>
      <c r="R59" s="17" t="s">
        <v>404</v>
      </c>
      <c r="S59" s="17" t="s">
        <v>663</v>
      </c>
      <c r="T59" s="17">
        <v>1</v>
      </c>
      <c r="U59" s="17" t="s">
        <v>1117</v>
      </c>
      <c r="V59" s="191" t="s">
        <v>810</v>
      </c>
      <c r="W59" s="191" t="s">
        <v>173</v>
      </c>
      <c r="X59" s="193" t="s">
        <v>715</v>
      </c>
      <c r="Y59" s="17" t="s">
        <v>661</v>
      </c>
      <c r="Z59" s="17" t="s">
        <v>823</v>
      </c>
      <c r="AA59" s="17" t="s">
        <v>150</v>
      </c>
      <c r="AB59" s="191" t="s">
        <v>150</v>
      </c>
      <c r="AC59" s="17" t="s">
        <v>663</v>
      </c>
      <c r="AD59" s="17" t="s">
        <v>664</v>
      </c>
      <c r="AE59" s="191" t="s">
        <v>138</v>
      </c>
      <c r="AF59" s="17" t="s">
        <v>150</v>
      </c>
      <c r="AG59" s="17" t="s">
        <v>150</v>
      </c>
      <c r="AH59" s="193" t="s">
        <v>1118</v>
      </c>
      <c r="AI59" s="193">
        <v>2</v>
      </c>
      <c r="AJ59" s="193" t="s">
        <v>1119</v>
      </c>
      <c r="AK59" s="193" t="s">
        <v>173</v>
      </c>
      <c r="AL59" s="193" t="s">
        <v>173</v>
      </c>
      <c r="AM59" s="193" t="s">
        <v>173</v>
      </c>
      <c r="AN59" s="193" t="s">
        <v>863</v>
      </c>
      <c r="AO59" s="193" t="s">
        <v>1120</v>
      </c>
      <c r="AP59" s="193" t="s">
        <v>1121</v>
      </c>
      <c r="AQ59" s="17" t="s">
        <v>156</v>
      </c>
      <c r="AR59" s="191" t="s">
        <v>491</v>
      </c>
      <c r="AS59" s="191" t="s">
        <v>492</v>
      </c>
      <c r="AT59" s="17" t="s">
        <v>150</v>
      </c>
      <c r="AU59" s="193" t="s">
        <v>216</v>
      </c>
      <c r="AV59" s="193" t="s">
        <v>199</v>
      </c>
      <c r="AW59" s="17" t="s">
        <v>150</v>
      </c>
      <c r="AX59" s="193" t="s">
        <v>217</v>
      </c>
      <c r="AY59" s="17" t="s">
        <v>216</v>
      </c>
      <c r="AZ59" s="17" t="s">
        <v>173</v>
      </c>
      <c r="BA59" s="17" t="s">
        <v>1122</v>
      </c>
      <c r="BB59" s="17" t="s">
        <v>674</v>
      </c>
      <c r="BC59" s="17" t="s">
        <v>836</v>
      </c>
      <c r="BD59" s="191">
        <v>2</v>
      </c>
      <c r="BE59" s="191">
        <v>0</v>
      </c>
      <c r="BF59" s="17" t="s">
        <v>837</v>
      </c>
      <c r="BG59" s="17" t="s">
        <v>150</v>
      </c>
      <c r="BH59" s="17" t="s">
        <v>168</v>
      </c>
      <c r="BI59" s="17" t="s">
        <v>838</v>
      </c>
      <c r="BJ59" s="17" t="s">
        <v>170</v>
      </c>
      <c r="BK59" s="17">
        <v>2</v>
      </c>
      <c r="BL59" s="191" t="s">
        <v>170</v>
      </c>
      <c r="BM59" s="17" t="s">
        <v>173</v>
      </c>
      <c r="BN59" s="17" t="s">
        <v>1123</v>
      </c>
      <c r="BO59" s="191">
        <v>20</v>
      </c>
      <c r="BP59" s="191" t="s">
        <v>1123</v>
      </c>
      <c r="BQ59" s="191" t="s">
        <v>1123</v>
      </c>
      <c r="BR59" s="191" t="s">
        <v>1123</v>
      </c>
      <c r="BS59" s="191"/>
      <c r="BT59" s="191" t="s">
        <v>874</v>
      </c>
      <c r="BU59" s="191"/>
      <c r="BV59" s="191" t="s">
        <v>697</v>
      </c>
      <c r="BW59" s="191" t="s">
        <v>216</v>
      </c>
      <c r="BX59" s="191" t="s">
        <v>776</v>
      </c>
      <c r="BY59" s="191" t="s">
        <v>776</v>
      </c>
      <c r="BZ59" s="302" cm="1">
        <f t="array" ref="BZ59">SUMPRODUCT(($B$4:$BY$4="Must have")*(B59:BY59&lt;&gt;"")*(UPPER(TRIM(B59:BY59))&lt;&gt;"TBD"))</f>
        <v>52</v>
      </c>
      <c r="CA59" s="302" cm="1">
        <f t="array" ref="CA59">SUMPRODUCT(($B$4:$BY$4="Must have")*((B59:BY59="")+(UPPER(TRIM(B59:BY59))="TBD")))</f>
        <v>0</v>
      </c>
      <c r="CB59" s="302" cm="1">
        <f t="array" ref="CB59">SUMPRODUCT(($B$4:$BY$4="Good to have")*(B59:BY59&lt;&gt;"")*(UPPER(TRIM(B59:BY59))&lt;&gt;"TBD"))</f>
        <v>21</v>
      </c>
      <c r="CC59" s="302" cm="1">
        <f t="array" ref="CC59">SUMPRODUCT(($B$4:$BY$4="Good to have")*((B59:BY59="")+(UPPER(TRIM(B59:BY59))="TBD")))</f>
        <v>2</v>
      </c>
      <c r="CD59" s="175" t="str">
        <f t="shared" si="1"/>
        <v>97.33%</v>
      </c>
      <c r="CF59" s="174" t="s">
        <v>845</v>
      </c>
    </row>
    <row r="60" spans="1:84" ht="18">
      <c r="A60" s="183" t="s">
        <v>483</v>
      </c>
      <c r="B60" s="190">
        <v>6096</v>
      </c>
      <c r="C60" s="191" t="s">
        <v>494</v>
      </c>
      <c r="D60" s="191" t="s">
        <v>495</v>
      </c>
      <c r="E60" s="191" t="s">
        <v>868</v>
      </c>
      <c r="F60" s="191" t="s">
        <v>179</v>
      </c>
      <c r="G60" s="192" t="s">
        <v>681</v>
      </c>
      <c r="H60" s="193" t="s">
        <v>905</v>
      </c>
      <c r="I60" s="193" t="s">
        <v>1105</v>
      </c>
      <c r="J60" s="191" t="s">
        <v>654</v>
      </c>
      <c r="K60" s="193" t="s">
        <v>772</v>
      </c>
      <c r="L60" s="17" t="s">
        <v>814</v>
      </c>
      <c r="M60" s="17" t="s">
        <v>438</v>
      </c>
      <c r="N60" s="17" t="s">
        <v>150</v>
      </c>
      <c r="O60" s="17" t="s">
        <v>212</v>
      </c>
      <c r="P60" s="348">
        <v>46387</v>
      </c>
      <c r="Q60" s="191" t="s">
        <v>848</v>
      </c>
      <c r="R60" s="17" t="s">
        <v>342</v>
      </c>
      <c r="S60" s="17" t="s">
        <v>188</v>
      </c>
      <c r="T60" s="17">
        <v>1</v>
      </c>
      <c r="U60" s="17" t="s">
        <v>138</v>
      </c>
      <c r="V60" s="191" t="s">
        <v>173</v>
      </c>
      <c r="W60" s="191" t="s">
        <v>173</v>
      </c>
      <c r="X60" s="193" t="s">
        <v>715</v>
      </c>
      <c r="Y60" s="17" t="s">
        <v>661</v>
      </c>
      <c r="Z60" s="17" t="s">
        <v>662</v>
      </c>
      <c r="AA60" s="17" t="s">
        <v>150</v>
      </c>
      <c r="AB60" s="191" t="s">
        <v>150</v>
      </c>
      <c r="AC60" s="17" t="s">
        <v>188</v>
      </c>
      <c r="AD60" s="17" t="s">
        <v>664</v>
      </c>
      <c r="AE60" s="191" t="s">
        <v>138</v>
      </c>
      <c r="AF60" s="17" t="s">
        <v>150</v>
      </c>
      <c r="AG60" s="17" t="s">
        <v>150</v>
      </c>
      <c r="AH60" s="223" t="s">
        <v>443</v>
      </c>
      <c r="AI60" s="223">
        <v>1</v>
      </c>
      <c r="AJ60" s="223" t="s">
        <v>1124</v>
      </c>
      <c r="AK60" s="223" t="s">
        <v>173</v>
      </c>
      <c r="AL60" s="223" t="s">
        <v>173</v>
      </c>
      <c r="AM60" s="223" t="s">
        <v>173</v>
      </c>
      <c r="AN60" s="193" t="s">
        <v>863</v>
      </c>
      <c r="AO60" s="193" t="s">
        <v>1125</v>
      </c>
      <c r="AP60" s="193">
        <v>0</v>
      </c>
      <c r="AQ60" s="17" t="s">
        <v>156</v>
      </c>
      <c r="AR60" s="191" t="s">
        <v>496</v>
      </c>
      <c r="AS60" s="191" t="s">
        <v>443</v>
      </c>
      <c r="AT60" s="17" t="s">
        <v>150</v>
      </c>
      <c r="AU60" s="193" t="s">
        <v>216</v>
      </c>
      <c r="AV60" s="17" t="s">
        <v>199</v>
      </c>
      <c r="AW60" s="17" t="s">
        <v>150</v>
      </c>
      <c r="AX60" s="193" t="s">
        <v>217</v>
      </c>
      <c r="AY60" s="17" t="s">
        <v>173</v>
      </c>
      <c r="AZ60" s="17" t="s">
        <v>173</v>
      </c>
      <c r="BA60" s="17" t="s">
        <v>752</v>
      </c>
      <c r="BB60" s="17" t="s">
        <v>674</v>
      </c>
      <c r="BC60" s="17" t="s">
        <v>836</v>
      </c>
      <c r="BD60" s="191">
        <v>2</v>
      </c>
      <c r="BE60" s="191">
        <v>0</v>
      </c>
      <c r="BF60" s="17" t="s">
        <v>837</v>
      </c>
      <c r="BG60" s="17" t="s">
        <v>150</v>
      </c>
      <c r="BH60" s="17" t="s">
        <v>203</v>
      </c>
      <c r="BI60" s="17" t="s">
        <v>204</v>
      </c>
      <c r="BJ60" s="17" t="s">
        <v>170</v>
      </c>
      <c r="BK60" s="17">
        <v>2</v>
      </c>
      <c r="BL60" s="191" t="s">
        <v>170</v>
      </c>
      <c r="BM60" s="17">
        <v>1</v>
      </c>
      <c r="BN60" s="17">
        <v>1</v>
      </c>
      <c r="BO60" s="191">
        <v>3</v>
      </c>
      <c r="BP60" s="191" t="s">
        <v>173</v>
      </c>
      <c r="BQ60" s="191" t="s">
        <v>173</v>
      </c>
      <c r="BR60" s="191" t="s">
        <v>173</v>
      </c>
      <c r="BS60" s="191"/>
      <c r="BT60" s="191" t="s">
        <v>443</v>
      </c>
      <c r="BU60" s="191" t="s">
        <v>928</v>
      </c>
      <c r="BV60" s="191"/>
      <c r="BW60" s="191" t="s">
        <v>216</v>
      </c>
      <c r="BX60" s="191" t="s">
        <v>776</v>
      </c>
      <c r="BY60" s="191" t="s">
        <v>776</v>
      </c>
      <c r="BZ60" s="302" cm="1">
        <f t="array" ref="BZ60">SUMPRODUCT(($B$4:$BY$4="Must have")*(B60:BY60&lt;&gt;"")*(UPPER(TRIM(B60:BY60))&lt;&gt;"TBD"))</f>
        <v>52</v>
      </c>
      <c r="CA60" s="302" cm="1">
        <f t="array" ref="CA60">SUMPRODUCT(($B$4:$BY$4="Must have")*((B60:BY60="")+(UPPER(TRIM(B60:BY60))="TBD")))</f>
        <v>0</v>
      </c>
      <c r="CB60" s="302" cm="1">
        <f t="array" ref="CB60">SUMPRODUCT(($B$4:$BY$4="Good to have")*(B60:BY60&lt;&gt;"")*(UPPER(TRIM(B60:BY60))&lt;&gt;"TBD"))</f>
        <v>21</v>
      </c>
      <c r="CC60" s="302" cm="1">
        <f t="array" ref="CC60">SUMPRODUCT(($B$4:$BY$4="Good to have")*((B60:BY60="")+(UPPER(TRIM(B60:BY60))="TBD")))</f>
        <v>2</v>
      </c>
      <c r="CD60" s="175" t="str">
        <f t="shared" si="1"/>
        <v>97.33%</v>
      </c>
      <c r="CF60" s="174" t="s">
        <v>845</v>
      </c>
    </row>
    <row r="61" spans="1:84" ht="18.600000000000001" thickBot="1">
      <c r="A61" s="183" t="s">
        <v>488</v>
      </c>
      <c r="B61" s="190">
        <v>6393</v>
      </c>
      <c r="C61" s="191" t="s">
        <v>498</v>
      </c>
      <c r="D61" s="191" t="s">
        <v>499</v>
      </c>
      <c r="E61" s="191" t="s">
        <v>1082</v>
      </c>
      <c r="F61" s="191" t="s">
        <v>179</v>
      </c>
      <c r="G61" s="192" t="s">
        <v>681</v>
      </c>
      <c r="H61" s="193" t="s">
        <v>858</v>
      </c>
      <c r="I61" s="320" t="s">
        <v>1126</v>
      </c>
      <c r="J61" s="191" t="s">
        <v>1127</v>
      </c>
      <c r="K61" s="193" t="s">
        <v>772</v>
      </c>
      <c r="L61" s="17" t="s">
        <v>814</v>
      </c>
      <c r="M61" s="17" t="s">
        <v>1042</v>
      </c>
      <c r="N61" s="17" t="s">
        <v>150</v>
      </c>
      <c r="O61" s="17" t="s">
        <v>223</v>
      </c>
      <c r="P61" s="348">
        <v>46387</v>
      </c>
      <c r="Q61" s="191" t="s">
        <v>848</v>
      </c>
      <c r="R61" s="17" t="s">
        <v>1128</v>
      </c>
      <c r="S61" s="17" t="s">
        <v>663</v>
      </c>
      <c r="T61" s="17">
        <v>1</v>
      </c>
      <c r="U61" s="17" t="s">
        <v>189</v>
      </c>
      <c r="V61" s="191" t="s">
        <v>1129</v>
      </c>
      <c r="W61" s="191" t="s">
        <v>850</v>
      </c>
      <c r="X61" s="193" t="s">
        <v>715</v>
      </c>
      <c r="Y61" s="17" t="s">
        <v>661</v>
      </c>
      <c r="Z61" s="17" t="s">
        <v>823</v>
      </c>
      <c r="AA61" s="17" t="s">
        <v>150</v>
      </c>
      <c r="AB61" s="191" t="s">
        <v>150</v>
      </c>
      <c r="AC61" s="17" t="s">
        <v>188</v>
      </c>
      <c r="AD61" s="17" t="s">
        <v>664</v>
      </c>
      <c r="AE61" s="191" t="s">
        <v>138</v>
      </c>
      <c r="AF61" s="17" t="s">
        <v>150</v>
      </c>
      <c r="AG61" s="17" t="s">
        <v>150</v>
      </c>
      <c r="AH61" s="193" t="s">
        <v>1130</v>
      </c>
      <c r="AI61" s="193">
        <v>1</v>
      </c>
      <c r="AJ61" s="193" t="s">
        <v>895</v>
      </c>
      <c r="AK61" s="193" t="s">
        <v>1131</v>
      </c>
      <c r="AL61" s="193">
        <v>3</v>
      </c>
      <c r="AM61" s="193" t="s">
        <v>1132</v>
      </c>
      <c r="AN61" s="193" t="s">
        <v>863</v>
      </c>
      <c r="AO61" s="193" t="s">
        <v>1087</v>
      </c>
      <c r="AP61" s="193">
        <v>0</v>
      </c>
      <c r="AQ61" s="17" t="s">
        <v>196</v>
      </c>
      <c r="AR61" s="191" t="s">
        <v>500</v>
      </c>
      <c r="AS61" s="191" t="s">
        <v>501</v>
      </c>
      <c r="AT61" s="17" t="s">
        <v>150</v>
      </c>
      <c r="AU61" s="193" t="s">
        <v>216</v>
      </c>
      <c r="AV61" s="17" t="s">
        <v>199</v>
      </c>
      <c r="AW61" s="17" t="s">
        <v>150</v>
      </c>
      <c r="AX61" s="193" t="s">
        <v>217</v>
      </c>
      <c r="AY61" s="17" t="s">
        <v>173</v>
      </c>
      <c r="AZ61" s="17" t="s">
        <v>173</v>
      </c>
      <c r="BA61" s="17" t="s">
        <v>752</v>
      </c>
      <c r="BB61" s="17" t="s">
        <v>674</v>
      </c>
      <c r="BC61" s="17" t="s">
        <v>836</v>
      </c>
      <c r="BD61" s="191">
        <v>0</v>
      </c>
      <c r="BE61" s="191">
        <v>0</v>
      </c>
      <c r="BF61" s="17" t="s">
        <v>837</v>
      </c>
      <c r="BG61" s="17" t="s">
        <v>150</v>
      </c>
      <c r="BH61" s="17" t="s">
        <v>203</v>
      </c>
      <c r="BI61" s="17" t="s">
        <v>204</v>
      </c>
      <c r="BJ61" s="17" t="s">
        <v>170</v>
      </c>
      <c r="BK61" s="17">
        <v>1</v>
      </c>
      <c r="BL61" s="191" t="s">
        <v>170</v>
      </c>
      <c r="BM61" s="17">
        <v>5</v>
      </c>
      <c r="BN61" s="17">
        <v>1</v>
      </c>
      <c r="BO61" s="191">
        <v>20</v>
      </c>
      <c r="BP61" s="191" t="s">
        <v>173</v>
      </c>
      <c r="BQ61" s="191" t="s">
        <v>173</v>
      </c>
      <c r="BR61" s="191" t="s">
        <v>173</v>
      </c>
      <c r="BS61" s="191"/>
      <c r="BT61" s="191" t="s">
        <v>874</v>
      </c>
      <c r="BU61" s="191"/>
      <c r="BV61" s="191" t="s">
        <v>697</v>
      </c>
      <c r="BW61" s="191" t="s">
        <v>216</v>
      </c>
      <c r="BX61" s="191" t="s">
        <v>776</v>
      </c>
      <c r="BY61" s="191" t="s">
        <v>776</v>
      </c>
      <c r="BZ61" s="302" cm="1">
        <f t="array" ref="BZ61">SUMPRODUCT(($B$4:$BY$4="Must have")*(B61:BY61&lt;&gt;"")*(UPPER(TRIM(B61:BY61))&lt;&gt;"TBD"))</f>
        <v>52</v>
      </c>
      <c r="CA61" s="302" cm="1">
        <f t="array" ref="CA61">SUMPRODUCT(($B$4:$BY$4="Must have")*((B61:BY61="")+(UPPER(TRIM(B61:BY61))="TBD")))</f>
        <v>0</v>
      </c>
      <c r="CB61" s="302" cm="1">
        <f t="array" ref="CB61">SUMPRODUCT(($B$4:$BY$4="Good to have")*(B61:BY61&lt;&gt;"")*(UPPER(TRIM(B61:BY61))&lt;&gt;"TBD"))</f>
        <v>21</v>
      </c>
      <c r="CC61" s="302" cm="1">
        <f t="array" ref="CC61">SUMPRODUCT(($B$4:$BY$4="Good to have")*((B61:BY61="")+(UPPER(TRIM(B61:BY61))="TBD")))</f>
        <v>2</v>
      </c>
      <c r="CD61" s="175" t="str">
        <f t="shared" si="1"/>
        <v>97.33%</v>
      </c>
      <c r="CF61" s="174" t="s">
        <v>845</v>
      </c>
    </row>
    <row r="62" spans="1:84" ht="18">
      <c r="A62" s="183" t="s">
        <v>493</v>
      </c>
      <c r="B62" s="190">
        <v>6397</v>
      </c>
      <c r="C62" s="191" t="s">
        <v>503</v>
      </c>
      <c r="D62" s="191" t="s">
        <v>504</v>
      </c>
      <c r="E62" s="191" t="s">
        <v>1082</v>
      </c>
      <c r="F62" s="191" t="s">
        <v>179</v>
      </c>
      <c r="G62" s="192" t="s">
        <v>681</v>
      </c>
      <c r="H62" s="193" t="s">
        <v>1133</v>
      </c>
      <c r="I62" s="193" t="s">
        <v>933</v>
      </c>
      <c r="J62" s="191" t="s">
        <v>948</v>
      </c>
      <c r="K62" s="193" t="s">
        <v>772</v>
      </c>
      <c r="L62" s="17" t="s">
        <v>1134</v>
      </c>
      <c r="M62" s="17" t="s">
        <v>1042</v>
      </c>
      <c r="N62" s="17" t="s">
        <v>150</v>
      </c>
      <c r="O62" s="17" t="s">
        <v>212</v>
      </c>
      <c r="P62" s="348">
        <v>46387</v>
      </c>
      <c r="Q62" s="191" t="s">
        <v>848</v>
      </c>
      <c r="R62" s="17" t="s">
        <v>143</v>
      </c>
      <c r="S62" s="17" t="s">
        <v>187</v>
      </c>
      <c r="T62" s="17">
        <v>1</v>
      </c>
      <c r="U62" s="307" t="s">
        <v>951</v>
      </c>
      <c r="V62" s="191" t="s">
        <v>216</v>
      </c>
      <c r="W62" s="191" t="s">
        <v>850</v>
      </c>
      <c r="X62" s="193" t="s">
        <v>715</v>
      </c>
      <c r="Y62" s="17" t="s">
        <v>1035</v>
      </c>
      <c r="Z62" s="17" t="s">
        <v>662</v>
      </c>
      <c r="AA62" s="17" t="s">
        <v>150</v>
      </c>
      <c r="AB62" s="191" t="s">
        <v>150</v>
      </c>
      <c r="AC62" s="17" t="s">
        <v>187</v>
      </c>
      <c r="AD62" s="17" t="s">
        <v>191</v>
      </c>
      <c r="AE62" s="191" t="s">
        <v>138</v>
      </c>
      <c r="AF62" s="17" t="s">
        <v>138</v>
      </c>
      <c r="AG62" s="17" t="s">
        <v>150</v>
      </c>
      <c r="AH62" s="193" t="s">
        <v>1135</v>
      </c>
      <c r="AI62" s="193">
        <v>2</v>
      </c>
      <c r="AJ62" s="193" t="s">
        <v>1022</v>
      </c>
      <c r="AK62" s="193" t="s">
        <v>216</v>
      </c>
      <c r="AL62" s="193">
        <v>0</v>
      </c>
      <c r="AM62" s="193" t="s">
        <v>810</v>
      </c>
      <c r="AN62" s="193" t="s">
        <v>863</v>
      </c>
      <c r="AO62" s="193" t="s">
        <v>1136</v>
      </c>
      <c r="AP62" s="193">
        <v>0</v>
      </c>
      <c r="AQ62" s="17" t="s">
        <v>945</v>
      </c>
      <c r="AR62" s="191" t="s">
        <v>505</v>
      </c>
      <c r="AS62" s="191" t="s">
        <v>503</v>
      </c>
      <c r="AT62" s="17" t="s">
        <v>150</v>
      </c>
      <c r="AU62" s="193" t="s">
        <v>216</v>
      </c>
      <c r="AV62" s="17" t="s">
        <v>199</v>
      </c>
      <c r="AW62" s="17" t="s">
        <v>150</v>
      </c>
      <c r="AX62" s="193" t="s">
        <v>217</v>
      </c>
      <c r="AY62" s="17" t="s">
        <v>216</v>
      </c>
      <c r="AZ62" s="17" t="s">
        <v>216</v>
      </c>
      <c r="BA62" s="17" t="s">
        <v>752</v>
      </c>
      <c r="BB62" s="17" t="s">
        <v>201</v>
      </c>
      <c r="BC62" s="17" t="s">
        <v>836</v>
      </c>
      <c r="BD62" s="191">
        <v>0</v>
      </c>
      <c r="BE62" s="191">
        <v>0</v>
      </c>
      <c r="BF62" s="17" t="s">
        <v>837</v>
      </c>
      <c r="BG62" s="17" t="s">
        <v>150</v>
      </c>
      <c r="BH62" s="17" t="s">
        <v>168</v>
      </c>
      <c r="BI62" s="17" t="s">
        <v>838</v>
      </c>
      <c r="BJ62" s="17" t="s">
        <v>171</v>
      </c>
      <c r="BK62" s="17">
        <v>1</v>
      </c>
      <c r="BL62" s="191" t="s">
        <v>170</v>
      </c>
      <c r="BM62" s="17" t="s">
        <v>1137</v>
      </c>
      <c r="BN62" s="17">
        <v>2</v>
      </c>
      <c r="BO62" s="191">
        <v>47</v>
      </c>
      <c r="BP62" s="191" t="s">
        <v>1138</v>
      </c>
      <c r="BQ62" s="191" t="s">
        <v>216</v>
      </c>
      <c r="BR62" s="191" t="s">
        <v>216</v>
      </c>
      <c r="BS62" s="191" t="s">
        <v>215</v>
      </c>
      <c r="BT62" s="191" t="s">
        <v>1081</v>
      </c>
      <c r="BU62" s="191" t="s">
        <v>933</v>
      </c>
      <c r="BV62" s="191"/>
      <c r="BW62" s="191" t="s">
        <v>216</v>
      </c>
      <c r="BX62" s="191" t="s">
        <v>776</v>
      </c>
      <c r="BY62" s="191" t="s">
        <v>776</v>
      </c>
      <c r="BZ62" s="302" cm="1">
        <f t="array" ref="BZ62">SUMPRODUCT(($B$4:$BY$4="Must have")*(B62:BY62&lt;&gt;"")*(UPPER(TRIM(B62:BY62))&lt;&gt;"TBD"))</f>
        <v>52</v>
      </c>
      <c r="CA62" s="302" cm="1">
        <f t="array" ref="CA62">SUMPRODUCT(($B$4:$BY$4="Must have")*((B62:BY62="")+(UPPER(TRIM(B62:BY62))="TBD")))</f>
        <v>0</v>
      </c>
      <c r="CB62" s="302" cm="1">
        <f t="array" ref="CB62">SUMPRODUCT(($B$4:$BY$4="Good to have")*(B62:BY62&lt;&gt;"")*(UPPER(TRIM(B62:BY62))&lt;&gt;"TBD"))</f>
        <v>21</v>
      </c>
      <c r="CC62" s="302" cm="1">
        <f t="array" ref="CC62">SUMPRODUCT(($B$4:$BY$4="Good to have")*((B62:BY62="")+(UPPER(TRIM(B62:BY62))="TBD")))</f>
        <v>2</v>
      </c>
      <c r="CD62" s="175" t="str">
        <f t="shared" si="1"/>
        <v>97.33%</v>
      </c>
      <c r="CF62" s="174" t="s">
        <v>845</v>
      </c>
    </row>
    <row r="63" spans="1:84" ht="18">
      <c r="A63" s="183" t="s">
        <v>497</v>
      </c>
      <c r="B63" s="190">
        <v>6408</v>
      </c>
      <c r="C63" s="191" t="s">
        <v>510</v>
      </c>
      <c r="D63" s="191" t="s">
        <v>511</v>
      </c>
      <c r="E63" s="191" t="s">
        <v>1082</v>
      </c>
      <c r="F63" s="191" t="s">
        <v>179</v>
      </c>
      <c r="G63" s="192" t="s">
        <v>681</v>
      </c>
      <c r="H63" s="193" t="s">
        <v>1139</v>
      </c>
      <c r="I63" s="310" t="s">
        <v>820</v>
      </c>
      <c r="J63" s="191" t="s">
        <v>948</v>
      </c>
      <c r="K63" s="193" t="s">
        <v>772</v>
      </c>
      <c r="L63" s="17" t="s">
        <v>1134</v>
      </c>
      <c r="M63" s="17" t="s">
        <v>1042</v>
      </c>
      <c r="N63" s="17" t="s">
        <v>150</v>
      </c>
      <c r="O63" s="17" t="s">
        <v>223</v>
      </c>
      <c r="P63" s="348">
        <v>46507</v>
      </c>
      <c r="Q63" s="191" t="s">
        <v>848</v>
      </c>
      <c r="R63" s="17" t="s">
        <v>1140</v>
      </c>
      <c r="S63" s="17" t="s">
        <v>187</v>
      </c>
      <c r="T63" s="17">
        <v>1</v>
      </c>
      <c r="U63" s="17" t="s">
        <v>173</v>
      </c>
      <c r="V63" s="325" t="s">
        <v>173</v>
      </c>
      <c r="W63" s="191" t="s">
        <v>173</v>
      </c>
      <c r="X63" s="193" t="s">
        <v>715</v>
      </c>
      <c r="Y63" s="17" t="s">
        <v>661</v>
      </c>
      <c r="Z63" s="17" t="s">
        <v>823</v>
      </c>
      <c r="AA63" s="17" t="s">
        <v>150</v>
      </c>
      <c r="AB63" s="191" t="s">
        <v>150</v>
      </c>
      <c r="AC63" s="17" t="s">
        <v>188</v>
      </c>
      <c r="AD63" s="17" t="s">
        <v>664</v>
      </c>
      <c r="AE63" s="191" t="s">
        <v>138</v>
      </c>
      <c r="AF63" s="17" t="s">
        <v>138</v>
      </c>
      <c r="AG63" s="17" t="s">
        <v>138</v>
      </c>
      <c r="AH63" s="193" t="s">
        <v>335</v>
      </c>
      <c r="AI63" s="193">
        <v>1</v>
      </c>
      <c r="AJ63" s="193" t="s">
        <v>829</v>
      </c>
      <c r="AK63" s="193" t="s">
        <v>173</v>
      </c>
      <c r="AL63" s="193" t="s">
        <v>173</v>
      </c>
      <c r="AM63" s="193" t="s">
        <v>173</v>
      </c>
      <c r="AN63" s="193" t="s">
        <v>863</v>
      </c>
      <c r="AO63" s="193" t="s">
        <v>1141</v>
      </c>
      <c r="AP63" s="223">
        <v>0</v>
      </c>
      <c r="AQ63" s="193" t="s">
        <v>173</v>
      </c>
      <c r="AR63" s="191" t="s">
        <v>512</v>
      </c>
      <c r="AS63" s="191"/>
      <c r="AT63" s="17" t="s">
        <v>150</v>
      </c>
      <c r="AU63" s="193" t="s">
        <v>216</v>
      </c>
      <c r="AV63" s="193" t="s">
        <v>216</v>
      </c>
      <c r="AW63" s="17" t="s">
        <v>150</v>
      </c>
      <c r="AX63" s="193" t="s">
        <v>216</v>
      </c>
      <c r="AY63" s="17" t="s">
        <v>173</v>
      </c>
      <c r="AZ63" s="17" t="s">
        <v>173</v>
      </c>
      <c r="BA63" s="17" t="s">
        <v>856</v>
      </c>
      <c r="BB63" s="17" t="s">
        <v>674</v>
      </c>
      <c r="BC63" s="17" t="s">
        <v>836</v>
      </c>
      <c r="BD63" s="191">
        <v>0</v>
      </c>
      <c r="BE63" s="191">
        <v>0</v>
      </c>
      <c r="BF63" s="17" t="s">
        <v>837</v>
      </c>
      <c r="BG63" s="17" t="s">
        <v>150</v>
      </c>
      <c r="BH63" s="17" t="s">
        <v>203</v>
      </c>
      <c r="BI63" s="17" t="s">
        <v>838</v>
      </c>
      <c r="BJ63" s="17" t="s">
        <v>170</v>
      </c>
      <c r="BK63" s="17">
        <v>2</v>
      </c>
      <c r="BL63" s="191" t="s">
        <v>170</v>
      </c>
      <c r="BM63" s="17" t="s">
        <v>173</v>
      </c>
      <c r="BN63" s="17" t="s">
        <v>173</v>
      </c>
      <c r="BO63" s="191">
        <v>20</v>
      </c>
      <c r="BP63" s="191" t="s">
        <v>215</v>
      </c>
      <c r="BQ63" s="191" t="s">
        <v>173</v>
      </c>
      <c r="BR63" s="191" t="s">
        <v>1142</v>
      </c>
      <c r="BS63" s="191"/>
      <c r="BT63" s="191" t="s">
        <v>839</v>
      </c>
      <c r="BU63" s="191"/>
      <c r="BV63" s="191" t="s">
        <v>697</v>
      </c>
      <c r="BW63" s="191" t="s">
        <v>216</v>
      </c>
      <c r="BX63" s="191" t="s">
        <v>216</v>
      </c>
      <c r="BY63" s="191" t="s">
        <v>216</v>
      </c>
      <c r="BZ63" s="302" cm="1">
        <f t="array" ref="BZ63">SUMPRODUCT(($B$4:$BY$4="Must have")*(B63:BY63&lt;&gt;"")*(UPPER(TRIM(B63:BY63))&lt;&gt;"TBD"))</f>
        <v>50</v>
      </c>
      <c r="CA63" s="302" cm="1">
        <f t="array" ref="CA63">SUMPRODUCT(($B$4:$BY$4="Must have")*((B63:BY63="")+(UPPER(TRIM(B63:BY63))="TBD")))</f>
        <v>2</v>
      </c>
      <c r="CB63" s="302" cm="1">
        <f t="array" ref="CB63">SUMPRODUCT(($B$4:$BY$4="Good to have")*(B63:BY63&lt;&gt;"")*(UPPER(TRIM(B63:BY63))&lt;&gt;"TBD"))</f>
        <v>21</v>
      </c>
      <c r="CC63" s="302" cm="1">
        <f t="array" ref="CC63">SUMPRODUCT(($B$4:$BY$4="Good to have")*((B63:BY63="")+(UPPER(TRIM(B63:BY63))="TBD")))</f>
        <v>2</v>
      </c>
      <c r="CD63" s="175" t="str">
        <f t="shared" si="1"/>
        <v>94.67%</v>
      </c>
      <c r="CF63" s="174" t="s">
        <v>845</v>
      </c>
    </row>
    <row r="64" spans="1:84" ht="18">
      <c r="A64" s="183" t="s">
        <v>502</v>
      </c>
      <c r="B64" s="190">
        <v>6422</v>
      </c>
      <c r="C64" s="191" t="s">
        <v>514</v>
      </c>
      <c r="D64" s="191" t="s">
        <v>515</v>
      </c>
      <c r="E64" s="191" t="s">
        <v>868</v>
      </c>
      <c r="F64" s="191" t="s">
        <v>179</v>
      </c>
      <c r="G64" s="192" t="s">
        <v>681</v>
      </c>
      <c r="H64" s="193" t="s">
        <v>905</v>
      </c>
      <c r="I64" s="193" t="s">
        <v>1143</v>
      </c>
      <c r="J64" s="191" t="s">
        <v>654</v>
      </c>
      <c r="K64" s="193" t="s">
        <v>1111</v>
      </c>
      <c r="L64" s="17" t="s">
        <v>814</v>
      </c>
      <c r="M64" s="17" t="s">
        <v>1144</v>
      </c>
      <c r="N64" s="17" t="s">
        <v>150</v>
      </c>
      <c r="O64" s="17" t="s">
        <v>212</v>
      </c>
      <c r="P64" s="348">
        <v>46387</v>
      </c>
      <c r="Q64" s="191" t="s">
        <v>848</v>
      </c>
      <c r="R64" s="17" t="s">
        <v>1101</v>
      </c>
      <c r="S64" s="17" t="s">
        <v>663</v>
      </c>
      <c r="T64" s="17">
        <v>1</v>
      </c>
      <c r="U64" s="17" t="s">
        <v>138</v>
      </c>
      <c r="V64" s="200" t="s">
        <v>658</v>
      </c>
      <c r="W64" s="191" t="s">
        <v>850</v>
      </c>
      <c r="X64" s="193" t="s">
        <v>715</v>
      </c>
      <c r="Y64" s="17" t="s">
        <v>661</v>
      </c>
      <c r="Z64" s="17" t="s">
        <v>915</v>
      </c>
      <c r="AA64" s="17" t="s">
        <v>150</v>
      </c>
      <c r="AB64" s="191" t="s">
        <v>150</v>
      </c>
      <c r="AC64" s="17" t="s">
        <v>663</v>
      </c>
      <c r="AD64" s="17" t="s">
        <v>191</v>
      </c>
      <c r="AE64" s="191" t="s">
        <v>150</v>
      </c>
      <c r="AF64" s="17" t="s">
        <v>150</v>
      </c>
      <c r="AG64" s="17" t="s">
        <v>150</v>
      </c>
      <c r="AH64" s="223" t="s">
        <v>1067</v>
      </c>
      <c r="AI64" s="223">
        <v>1</v>
      </c>
      <c r="AJ64" s="223" t="s">
        <v>1102</v>
      </c>
      <c r="AK64" s="223" t="s">
        <v>173</v>
      </c>
      <c r="AL64" s="223" t="s">
        <v>173</v>
      </c>
      <c r="AM64" s="223" t="s">
        <v>173</v>
      </c>
      <c r="AN64" s="193" t="s">
        <v>863</v>
      </c>
      <c r="AO64" s="193" t="s">
        <v>1145</v>
      </c>
      <c r="AP64" s="189">
        <v>0</v>
      </c>
      <c r="AQ64" s="17" t="s">
        <v>156</v>
      </c>
      <c r="AR64" s="191" t="s">
        <v>516</v>
      </c>
      <c r="AS64" s="191" t="s">
        <v>443</v>
      </c>
      <c r="AT64" s="17" t="s">
        <v>150</v>
      </c>
      <c r="AU64" s="193" t="s">
        <v>216</v>
      </c>
      <c r="AV64" s="17" t="s">
        <v>199</v>
      </c>
      <c r="AW64" s="17" t="s">
        <v>150</v>
      </c>
      <c r="AX64" s="193" t="s">
        <v>217</v>
      </c>
      <c r="AY64" s="17" t="s">
        <v>173</v>
      </c>
      <c r="AZ64" s="17" t="s">
        <v>173</v>
      </c>
      <c r="BA64" s="17" t="s">
        <v>752</v>
      </c>
      <c r="BB64" s="17" t="s">
        <v>674</v>
      </c>
      <c r="BC64" s="17" t="s">
        <v>836</v>
      </c>
      <c r="BD64" s="191">
        <v>5</v>
      </c>
      <c r="BE64" s="230" t="s">
        <v>1060</v>
      </c>
      <c r="BF64" s="17" t="s">
        <v>837</v>
      </c>
      <c r="BG64" s="17" t="s">
        <v>150</v>
      </c>
      <c r="BH64" s="17" t="s">
        <v>203</v>
      </c>
      <c r="BI64" s="17" t="s">
        <v>204</v>
      </c>
      <c r="BJ64" s="17" t="s">
        <v>170</v>
      </c>
      <c r="BK64" s="17">
        <v>2</v>
      </c>
      <c r="BL64" s="191" t="s">
        <v>170</v>
      </c>
      <c r="BM64" s="17">
        <v>5</v>
      </c>
      <c r="BN64" s="17">
        <v>1</v>
      </c>
      <c r="BO64" s="191">
        <v>20</v>
      </c>
      <c r="BP64" s="323" t="s">
        <v>932</v>
      </c>
      <c r="BQ64" s="191" t="s">
        <v>173</v>
      </c>
      <c r="BR64" s="191" t="s">
        <v>173</v>
      </c>
      <c r="BS64" s="191"/>
      <c r="BT64" s="191" t="s">
        <v>443</v>
      </c>
      <c r="BU64" s="191" t="s">
        <v>928</v>
      </c>
      <c r="BV64" s="191"/>
      <c r="BW64" s="191" t="s">
        <v>216</v>
      </c>
      <c r="BX64" s="191" t="s">
        <v>776</v>
      </c>
      <c r="BY64" s="191" t="s">
        <v>776</v>
      </c>
      <c r="BZ64" s="302" cm="1">
        <f t="array" ref="BZ64">SUMPRODUCT(($B$4:$BY$4="Must have")*(B64:BY64&lt;&gt;"")*(UPPER(TRIM(B64:BY64))&lt;&gt;"TBD"))</f>
        <v>52</v>
      </c>
      <c r="CA64" s="302" cm="1">
        <f t="array" ref="CA64">SUMPRODUCT(($B$4:$BY$4="Must have")*((B64:BY64="")+(UPPER(TRIM(B64:BY64))="TBD")))</f>
        <v>0</v>
      </c>
      <c r="CB64" s="302" cm="1">
        <f t="array" ref="CB64">SUMPRODUCT(($B$4:$BY$4="Good to have")*(B64:BY64&lt;&gt;"")*(UPPER(TRIM(B64:BY64))&lt;&gt;"TBD"))</f>
        <v>21</v>
      </c>
      <c r="CC64" s="302" cm="1">
        <f t="array" ref="CC64">SUMPRODUCT(($B$4:$BY$4="Good to have")*((B64:BY64="")+(UPPER(TRIM(B64:BY64))="TBD")))</f>
        <v>2</v>
      </c>
      <c r="CD64" s="175" t="str">
        <f t="shared" si="1"/>
        <v>97.33%</v>
      </c>
      <c r="CF64" s="174" t="s">
        <v>845</v>
      </c>
    </row>
    <row r="65" spans="1:84" ht="18">
      <c r="A65" s="183" t="s">
        <v>506</v>
      </c>
      <c r="B65" s="190">
        <v>6424</v>
      </c>
      <c r="C65" s="191" t="s">
        <v>518</v>
      </c>
      <c r="D65" s="191" t="s">
        <v>519</v>
      </c>
      <c r="E65" s="191" t="s">
        <v>987</v>
      </c>
      <c r="F65" s="191" t="s">
        <v>179</v>
      </c>
      <c r="G65" s="192" t="s">
        <v>681</v>
      </c>
      <c r="H65" s="193" t="s">
        <v>1146</v>
      </c>
      <c r="I65" s="193" t="s">
        <v>933</v>
      </c>
      <c r="J65" s="191" t="s">
        <v>948</v>
      </c>
      <c r="K65" s="193" t="s">
        <v>772</v>
      </c>
      <c r="L65" s="17" t="s">
        <v>814</v>
      </c>
      <c r="M65" s="17" t="s">
        <v>217</v>
      </c>
      <c r="N65" s="17" t="s">
        <v>138</v>
      </c>
      <c r="O65" s="17" t="s">
        <v>212</v>
      </c>
      <c r="P65" s="348">
        <v>46310</v>
      </c>
      <c r="Q65" s="191" t="s">
        <v>848</v>
      </c>
      <c r="R65" s="17" t="s">
        <v>1147</v>
      </c>
      <c r="S65" s="17" t="s">
        <v>188</v>
      </c>
      <c r="T65" s="17">
        <v>1</v>
      </c>
      <c r="U65" s="307" t="s">
        <v>951</v>
      </c>
      <c r="V65" s="191" t="s">
        <v>952</v>
      </c>
      <c r="W65" s="191" t="s">
        <v>850</v>
      </c>
      <c r="X65" s="193" t="s">
        <v>715</v>
      </c>
      <c r="Y65" s="17" t="s">
        <v>661</v>
      </c>
      <c r="Z65" s="17" t="s">
        <v>662</v>
      </c>
      <c r="AA65" s="17" t="s">
        <v>150</v>
      </c>
      <c r="AB65" s="191" t="s">
        <v>150</v>
      </c>
      <c r="AC65" s="17" t="s">
        <v>663</v>
      </c>
      <c r="AD65" s="17" t="s">
        <v>664</v>
      </c>
      <c r="AE65" s="191" t="s">
        <v>138</v>
      </c>
      <c r="AF65" s="17" t="s">
        <v>150</v>
      </c>
      <c r="AG65" s="17" t="s">
        <v>150</v>
      </c>
      <c r="AH65" s="193" t="s">
        <v>1148</v>
      </c>
      <c r="AI65" s="193">
        <v>1</v>
      </c>
      <c r="AJ65" s="193" t="s">
        <v>1149</v>
      </c>
      <c r="AK65" s="193" t="s">
        <v>1148</v>
      </c>
      <c r="AL65" s="193">
        <v>1</v>
      </c>
      <c r="AM65" s="193" t="s">
        <v>1149</v>
      </c>
      <c r="AN65" s="193" t="s">
        <v>863</v>
      </c>
      <c r="AO65" s="193" t="s">
        <v>1150</v>
      </c>
      <c r="AP65" s="223">
        <v>0</v>
      </c>
      <c r="AQ65" s="17"/>
      <c r="AR65" s="191" t="s">
        <v>520</v>
      </c>
      <c r="AS65" s="191" t="s">
        <v>521</v>
      </c>
      <c r="AT65" s="17" t="s">
        <v>150</v>
      </c>
      <c r="AU65" s="193" t="s">
        <v>216</v>
      </c>
      <c r="AV65" s="17"/>
      <c r="AW65" s="17" t="s">
        <v>150</v>
      </c>
      <c r="AX65" s="193" t="s">
        <v>217</v>
      </c>
      <c r="AY65" s="17" t="s">
        <v>216</v>
      </c>
      <c r="AZ65" s="17" t="s">
        <v>216</v>
      </c>
      <c r="BA65" s="17" t="s">
        <v>752</v>
      </c>
      <c r="BB65" s="17" t="s">
        <v>201</v>
      </c>
      <c r="BC65" s="17" t="s">
        <v>836</v>
      </c>
      <c r="BD65" s="191">
        <v>12</v>
      </c>
      <c r="BE65" s="191">
        <v>0</v>
      </c>
      <c r="BF65" s="17" t="s">
        <v>837</v>
      </c>
      <c r="BG65" s="17" t="s">
        <v>150</v>
      </c>
      <c r="BH65" s="17" t="s">
        <v>168</v>
      </c>
      <c r="BI65" s="17" t="s">
        <v>204</v>
      </c>
      <c r="BJ65" s="17" t="s">
        <v>171</v>
      </c>
      <c r="BK65" s="17">
        <v>2</v>
      </c>
      <c r="BL65" s="191" t="s">
        <v>1151</v>
      </c>
      <c r="BM65" s="17">
        <v>0</v>
      </c>
      <c r="BN65" s="17">
        <v>0</v>
      </c>
      <c r="BO65" s="191">
        <v>0</v>
      </c>
      <c r="BP65" s="191" t="s">
        <v>216</v>
      </c>
      <c r="BQ65" s="191" t="s">
        <v>216</v>
      </c>
      <c r="BR65" s="191" t="s">
        <v>216</v>
      </c>
      <c r="BS65" s="191" t="s">
        <v>215</v>
      </c>
      <c r="BT65" s="191" t="s">
        <v>382</v>
      </c>
      <c r="BU65" s="191" t="s">
        <v>1152</v>
      </c>
      <c r="BV65" s="191" t="s">
        <v>1153</v>
      </c>
      <c r="BW65" s="191" t="s">
        <v>216</v>
      </c>
      <c r="BX65" s="191" t="s">
        <v>776</v>
      </c>
      <c r="BY65" s="191" t="s">
        <v>776</v>
      </c>
      <c r="BZ65" s="302" cm="1">
        <f t="array" ref="BZ65">SUMPRODUCT(($B$4:$BY$4="Must have")*(B65:BY65&lt;&gt;"")*(UPPER(TRIM(B65:BY65))&lt;&gt;"TBD"))</f>
        <v>50</v>
      </c>
      <c r="CA65" s="302" cm="1">
        <f t="array" ref="CA65">SUMPRODUCT(($B$4:$BY$4="Must have")*((B65:BY65="")+(UPPER(TRIM(B65:BY65))="TBD")))</f>
        <v>2</v>
      </c>
      <c r="CB65" s="302" cm="1">
        <f t="array" ref="CB65">SUMPRODUCT(($B$4:$BY$4="Good to have")*(B65:BY65&lt;&gt;"")*(UPPER(TRIM(B65:BY65))&lt;&gt;"TBD"))</f>
        <v>22</v>
      </c>
      <c r="CC65" s="302" cm="1">
        <f t="array" ref="CC65">SUMPRODUCT(($B$4:$BY$4="Good to have")*((B65:BY65="")+(UPPER(TRIM(B65:BY65))="TBD")))</f>
        <v>1</v>
      </c>
      <c r="CD65" s="175" t="str">
        <f t="shared" si="1"/>
        <v>96%</v>
      </c>
      <c r="CF65" s="174" t="s">
        <v>845</v>
      </c>
    </row>
    <row r="66" spans="1:84" ht="18">
      <c r="A66" s="183" t="s">
        <v>509</v>
      </c>
      <c r="B66" s="190">
        <v>6452</v>
      </c>
      <c r="C66" s="191" t="s">
        <v>523</v>
      </c>
      <c r="D66" s="191" t="s">
        <v>524</v>
      </c>
      <c r="E66" s="191" t="s">
        <v>868</v>
      </c>
      <c r="F66" s="191" t="s">
        <v>179</v>
      </c>
      <c r="G66" s="192" t="s">
        <v>681</v>
      </c>
      <c r="H66" s="193" t="s">
        <v>1154</v>
      </c>
      <c r="I66" s="310" t="s">
        <v>820</v>
      </c>
      <c r="J66" s="191" t="s">
        <v>948</v>
      </c>
      <c r="K66" s="193" t="s">
        <v>772</v>
      </c>
      <c r="L66" s="17" t="s">
        <v>1134</v>
      </c>
      <c r="M66" s="17" t="s">
        <v>1042</v>
      </c>
      <c r="N66" s="17" t="s">
        <v>150</v>
      </c>
      <c r="O66" s="17" t="s">
        <v>223</v>
      </c>
      <c r="P66" s="348">
        <v>46507</v>
      </c>
      <c r="Q66" s="191" t="s">
        <v>848</v>
      </c>
      <c r="R66" s="17" t="s">
        <v>1140</v>
      </c>
      <c r="S66" s="17" t="s">
        <v>187</v>
      </c>
      <c r="T66" s="17">
        <v>1</v>
      </c>
      <c r="U66" s="17" t="s">
        <v>173</v>
      </c>
      <c r="V66" s="191" t="s">
        <v>173</v>
      </c>
      <c r="W66" s="191" t="s">
        <v>173</v>
      </c>
      <c r="X66" s="193" t="s">
        <v>715</v>
      </c>
      <c r="Y66" s="17" t="s">
        <v>661</v>
      </c>
      <c r="Z66" s="17" t="s">
        <v>823</v>
      </c>
      <c r="AA66" s="17" t="s">
        <v>150</v>
      </c>
      <c r="AB66" s="191" t="s">
        <v>150</v>
      </c>
      <c r="AC66" s="17" t="s">
        <v>188</v>
      </c>
      <c r="AD66" s="17" t="s">
        <v>664</v>
      </c>
      <c r="AE66" s="191" t="s">
        <v>138</v>
      </c>
      <c r="AF66" s="17" t="s">
        <v>138</v>
      </c>
      <c r="AG66" s="17" t="s">
        <v>138</v>
      </c>
      <c r="AH66" s="174" t="s">
        <v>173</v>
      </c>
      <c r="AI66" s="193" t="s">
        <v>173</v>
      </c>
      <c r="AJ66" s="193" t="s">
        <v>173</v>
      </c>
      <c r="AK66" s="193" t="s">
        <v>335</v>
      </c>
      <c r="AL66" s="193">
        <v>1</v>
      </c>
      <c r="AM66" s="193" t="s">
        <v>829</v>
      </c>
      <c r="AN66" s="193" t="s">
        <v>830</v>
      </c>
      <c r="AO66" s="193" t="s">
        <v>1155</v>
      </c>
      <c r="AP66" s="223">
        <v>0</v>
      </c>
      <c r="AQ66" s="193" t="s">
        <v>173</v>
      </c>
      <c r="AR66" s="191" t="s">
        <v>525</v>
      </c>
      <c r="AS66" s="191"/>
      <c r="AT66" s="17" t="s">
        <v>150</v>
      </c>
      <c r="AU66" s="193" t="s">
        <v>216</v>
      </c>
      <c r="AV66" s="193" t="s">
        <v>216</v>
      </c>
      <c r="AW66" s="17" t="s">
        <v>150</v>
      </c>
      <c r="AX66" s="193" t="s">
        <v>216</v>
      </c>
      <c r="AY66" s="17" t="s">
        <v>173</v>
      </c>
      <c r="AZ66" s="17" t="s">
        <v>173</v>
      </c>
      <c r="BA66" s="17" t="s">
        <v>856</v>
      </c>
      <c r="BB66" s="17" t="s">
        <v>674</v>
      </c>
      <c r="BC66" s="17" t="s">
        <v>836</v>
      </c>
      <c r="BD66" s="191">
        <v>2</v>
      </c>
      <c r="BE66" s="191">
        <v>0</v>
      </c>
      <c r="BF66" s="17" t="s">
        <v>837</v>
      </c>
      <c r="BG66" s="17" t="s">
        <v>150</v>
      </c>
      <c r="BH66" s="17" t="s">
        <v>168</v>
      </c>
      <c r="BI66" s="17" t="s">
        <v>838</v>
      </c>
      <c r="BJ66" s="17" t="s">
        <v>170</v>
      </c>
      <c r="BK66" s="17">
        <v>2</v>
      </c>
      <c r="BL66" s="191" t="s">
        <v>170</v>
      </c>
      <c r="BM66" s="17" t="s">
        <v>173</v>
      </c>
      <c r="BN66" s="17" t="s">
        <v>173</v>
      </c>
      <c r="BO66" s="191">
        <v>20</v>
      </c>
      <c r="BP66" s="191" t="s">
        <v>215</v>
      </c>
      <c r="BQ66" s="191" t="s">
        <v>173</v>
      </c>
      <c r="BR66" s="191" t="s">
        <v>1142</v>
      </c>
      <c r="BS66" s="191"/>
      <c r="BT66" s="191" t="s">
        <v>839</v>
      </c>
      <c r="BU66" s="326" t="s">
        <v>1156</v>
      </c>
      <c r="BV66" s="191" t="s">
        <v>697</v>
      </c>
      <c r="BW66" s="191" t="s">
        <v>216</v>
      </c>
      <c r="BX66" s="191" t="s">
        <v>216</v>
      </c>
      <c r="BY66" s="191" t="s">
        <v>216</v>
      </c>
      <c r="BZ66" s="302" cm="1">
        <f t="array" ref="BZ66">SUMPRODUCT(($B$4:$BY$4="Must have")*(B66:BY66&lt;&gt;"")*(UPPER(TRIM(B66:BY66))&lt;&gt;"TBD"))</f>
        <v>50</v>
      </c>
      <c r="CA66" s="302" cm="1">
        <f t="array" ref="CA66">SUMPRODUCT(($B$4:$BY$4="Must have")*((B66:BY66="")+(UPPER(TRIM(B66:BY66))="TBD")))</f>
        <v>2</v>
      </c>
      <c r="CB66" s="302" cm="1">
        <f t="array" ref="CB66">SUMPRODUCT(($B$4:$BY$4="Good to have")*(B66:BY66&lt;&gt;"")*(UPPER(TRIM(B66:BY66))&lt;&gt;"TBD"))</f>
        <v>22</v>
      </c>
      <c r="CC66" s="302" cm="1">
        <f t="array" ref="CC66">SUMPRODUCT(($B$4:$BY$4="Good to have")*((B66:BY66="")+(UPPER(TRIM(B66:BY66))="TBD")))</f>
        <v>1</v>
      </c>
      <c r="CD66" s="175" t="str">
        <f t="shared" si="1"/>
        <v>96%</v>
      </c>
      <c r="CF66" s="174" t="s">
        <v>845</v>
      </c>
    </row>
    <row r="67" spans="1:84" ht="71.45" customHeight="1" thickBot="1">
      <c r="A67" s="183" t="s">
        <v>513</v>
      </c>
      <c r="B67" s="190">
        <v>6453</v>
      </c>
      <c r="C67" s="191" t="s">
        <v>527</v>
      </c>
      <c r="D67" s="191" t="s">
        <v>528</v>
      </c>
      <c r="E67" s="191" t="s">
        <v>868</v>
      </c>
      <c r="F67" s="191" t="s">
        <v>179</v>
      </c>
      <c r="G67" s="192" t="s">
        <v>681</v>
      </c>
      <c r="H67" s="193" t="s">
        <v>1139</v>
      </c>
      <c r="I67" s="320" t="s">
        <v>820</v>
      </c>
      <c r="J67" s="191" t="s">
        <v>948</v>
      </c>
      <c r="K67" s="193" t="s">
        <v>772</v>
      </c>
      <c r="L67" s="17" t="s">
        <v>1134</v>
      </c>
      <c r="M67" s="17" t="s">
        <v>1042</v>
      </c>
      <c r="N67" s="17" t="s">
        <v>150</v>
      </c>
      <c r="O67" s="17" t="s">
        <v>223</v>
      </c>
      <c r="P67" s="348">
        <v>46507</v>
      </c>
      <c r="Q67" s="191" t="s">
        <v>848</v>
      </c>
      <c r="R67" s="333" t="s">
        <v>1157</v>
      </c>
      <c r="S67" s="17" t="s">
        <v>187</v>
      </c>
      <c r="T67" s="17">
        <v>1</v>
      </c>
      <c r="U67" s="17" t="s">
        <v>173</v>
      </c>
      <c r="V67" s="191" t="s">
        <v>173</v>
      </c>
      <c r="W67" s="191" t="s">
        <v>173</v>
      </c>
      <c r="X67" s="193" t="s">
        <v>715</v>
      </c>
      <c r="Y67" s="17" t="s">
        <v>661</v>
      </c>
      <c r="Z67" s="17" t="s">
        <v>823</v>
      </c>
      <c r="AA67" s="17" t="s">
        <v>150</v>
      </c>
      <c r="AB67" s="191" t="s">
        <v>150</v>
      </c>
      <c r="AC67" s="17" t="s">
        <v>188</v>
      </c>
      <c r="AD67" s="17" t="s">
        <v>664</v>
      </c>
      <c r="AE67" s="191" t="s">
        <v>138</v>
      </c>
      <c r="AF67" s="17" t="s">
        <v>138</v>
      </c>
      <c r="AG67" s="17" t="s">
        <v>138</v>
      </c>
      <c r="AH67" s="193" t="s">
        <v>335</v>
      </c>
      <c r="AI67" s="193">
        <v>1</v>
      </c>
      <c r="AJ67" s="279" t="s">
        <v>1158</v>
      </c>
      <c r="AK67" s="193" t="s">
        <v>173</v>
      </c>
      <c r="AL67" s="193" t="s">
        <v>173</v>
      </c>
      <c r="AM67" s="193" t="s">
        <v>173</v>
      </c>
      <c r="AN67" s="193" t="s">
        <v>830</v>
      </c>
      <c r="AO67" s="193" t="s">
        <v>1159</v>
      </c>
      <c r="AP67" s="223">
        <v>0</v>
      </c>
      <c r="AQ67" s="193" t="s">
        <v>173</v>
      </c>
      <c r="AR67" s="191" t="s">
        <v>529</v>
      </c>
      <c r="AS67" s="191"/>
      <c r="AT67" s="17" t="s">
        <v>150</v>
      </c>
      <c r="AU67" s="193" t="s">
        <v>216</v>
      </c>
      <c r="AV67" s="193" t="s">
        <v>216</v>
      </c>
      <c r="AW67" s="17" t="s">
        <v>150</v>
      </c>
      <c r="AX67" s="193" t="s">
        <v>216</v>
      </c>
      <c r="AY67" s="17" t="s">
        <v>173</v>
      </c>
      <c r="AZ67" s="17" t="s">
        <v>173</v>
      </c>
      <c r="BA67" s="17" t="s">
        <v>856</v>
      </c>
      <c r="BB67" s="17" t="s">
        <v>674</v>
      </c>
      <c r="BC67" s="17" t="s">
        <v>836</v>
      </c>
      <c r="BD67" s="191">
        <v>0</v>
      </c>
      <c r="BE67" s="191">
        <v>0</v>
      </c>
      <c r="BF67" s="17" t="s">
        <v>837</v>
      </c>
      <c r="BG67" s="17" t="s">
        <v>150</v>
      </c>
      <c r="BH67" s="17" t="s">
        <v>168</v>
      </c>
      <c r="BI67" s="17" t="s">
        <v>838</v>
      </c>
      <c r="BJ67" s="17" t="s">
        <v>170</v>
      </c>
      <c r="BK67" s="17">
        <v>2</v>
      </c>
      <c r="BL67" s="191" t="s">
        <v>170</v>
      </c>
      <c r="BM67" s="17" t="s">
        <v>173</v>
      </c>
      <c r="BN67" s="17" t="s">
        <v>173</v>
      </c>
      <c r="BO67" s="191">
        <v>20</v>
      </c>
      <c r="BP67" s="191" t="s">
        <v>215</v>
      </c>
      <c r="BQ67" s="191" t="s">
        <v>173</v>
      </c>
      <c r="BR67" s="191" t="s">
        <v>1142</v>
      </c>
      <c r="BS67" s="191"/>
      <c r="BT67" s="191" t="s">
        <v>839</v>
      </c>
      <c r="BU67" s="326" t="s">
        <v>1156</v>
      </c>
      <c r="BV67" s="191" t="s">
        <v>697</v>
      </c>
      <c r="BW67" s="191" t="s">
        <v>216</v>
      </c>
      <c r="BX67" s="191" t="s">
        <v>216</v>
      </c>
      <c r="BY67" s="191" t="s">
        <v>216</v>
      </c>
      <c r="BZ67" s="302" cm="1">
        <f t="array" ref="BZ67">SUMPRODUCT(($B$4:$BY$4="Must have")*(B67:BY67&lt;&gt;"")*(UPPER(TRIM(B67:BY67))&lt;&gt;"TBD"))</f>
        <v>50</v>
      </c>
      <c r="CA67" s="302" cm="1">
        <f t="array" ref="CA67">SUMPRODUCT(($B$4:$BY$4="Must have")*((B67:BY67="")+(UPPER(TRIM(B67:BY67))="TBD")))</f>
        <v>2</v>
      </c>
      <c r="CB67" s="302" cm="1">
        <f t="array" ref="CB67">SUMPRODUCT(($B$4:$BY$4="Good to have")*(B67:BY67&lt;&gt;"")*(UPPER(TRIM(B67:BY67))&lt;&gt;"TBD"))</f>
        <v>22</v>
      </c>
      <c r="CC67" s="302" cm="1">
        <f t="array" ref="CC67">SUMPRODUCT(($B$4:$BY$4="Good to have")*((B67:BY67="")+(UPPER(TRIM(B67:BY67))="TBD")))</f>
        <v>1</v>
      </c>
      <c r="CD67" s="175" t="str">
        <f t="shared" si="1"/>
        <v>96%</v>
      </c>
      <c r="CF67" s="174" t="s">
        <v>845</v>
      </c>
    </row>
    <row r="68" spans="1:84" ht="18">
      <c r="A68" s="183" t="s">
        <v>517</v>
      </c>
      <c r="B68" s="190">
        <v>6500</v>
      </c>
      <c r="C68" s="191" t="s">
        <v>531</v>
      </c>
      <c r="D68" s="191" t="s">
        <v>532</v>
      </c>
      <c r="E68" s="191" t="s">
        <v>868</v>
      </c>
      <c r="F68" s="191" t="s">
        <v>179</v>
      </c>
      <c r="G68" s="192" t="s">
        <v>681</v>
      </c>
      <c r="H68" s="193" t="s">
        <v>905</v>
      </c>
      <c r="I68" s="193" t="s">
        <v>1063</v>
      </c>
      <c r="J68" s="191" t="s">
        <v>1032</v>
      </c>
      <c r="K68" s="193" t="s">
        <v>1111</v>
      </c>
      <c r="L68" s="17" t="s">
        <v>814</v>
      </c>
      <c r="M68" s="17" t="s">
        <v>1160</v>
      </c>
      <c r="N68" s="17" t="s">
        <v>138</v>
      </c>
      <c r="O68" s="17" t="s">
        <v>223</v>
      </c>
      <c r="P68" s="348">
        <v>46387</v>
      </c>
      <c r="Q68" s="191" t="s">
        <v>848</v>
      </c>
      <c r="R68" s="17" t="s">
        <v>1101</v>
      </c>
      <c r="S68" s="17" t="s">
        <v>188</v>
      </c>
      <c r="T68" s="174">
        <v>1</v>
      </c>
      <c r="U68" s="17" t="s">
        <v>138</v>
      </c>
      <c r="V68" s="191" t="s">
        <v>173</v>
      </c>
      <c r="W68" s="191" t="s">
        <v>173</v>
      </c>
      <c r="X68" s="193" t="s">
        <v>715</v>
      </c>
      <c r="Y68" s="17" t="s">
        <v>661</v>
      </c>
      <c r="Z68" s="17" t="s">
        <v>915</v>
      </c>
      <c r="AA68" s="17" t="s">
        <v>150</v>
      </c>
      <c r="AB68" s="191" t="s">
        <v>150</v>
      </c>
      <c r="AC68" s="17" t="s">
        <v>663</v>
      </c>
      <c r="AD68" s="17" t="s">
        <v>664</v>
      </c>
      <c r="AE68" s="191" t="s">
        <v>138</v>
      </c>
      <c r="AF68" s="17" t="s">
        <v>150</v>
      </c>
      <c r="AG68" s="17" t="s">
        <v>150</v>
      </c>
      <c r="AH68" s="193" t="s">
        <v>173</v>
      </c>
      <c r="AI68" s="193" t="s">
        <v>173</v>
      </c>
      <c r="AJ68" s="193" t="s">
        <v>173</v>
      </c>
      <c r="AK68" s="193" t="s">
        <v>443</v>
      </c>
      <c r="AL68" s="193">
        <v>1</v>
      </c>
      <c r="AM68" s="193" t="s">
        <v>1086</v>
      </c>
      <c r="AN68" s="193" t="s">
        <v>863</v>
      </c>
      <c r="AO68" s="193" t="s">
        <v>443</v>
      </c>
      <c r="AP68" s="193">
        <v>0</v>
      </c>
      <c r="AQ68" s="17" t="s">
        <v>156</v>
      </c>
      <c r="AR68" s="191" t="s">
        <v>533</v>
      </c>
      <c r="AS68" s="191" t="s">
        <v>372</v>
      </c>
      <c r="AT68" s="17" t="s">
        <v>150</v>
      </c>
      <c r="AU68" s="193" t="s">
        <v>216</v>
      </c>
      <c r="AV68" s="17" t="s">
        <v>199</v>
      </c>
      <c r="AW68" s="17" t="s">
        <v>150</v>
      </c>
      <c r="AX68" s="193" t="s">
        <v>217</v>
      </c>
      <c r="AY68" s="17" t="s">
        <v>173</v>
      </c>
      <c r="AZ68" s="17" t="s">
        <v>173</v>
      </c>
      <c r="BA68" s="17" t="s">
        <v>752</v>
      </c>
      <c r="BB68" s="17" t="s">
        <v>674</v>
      </c>
      <c r="BC68" s="17" t="s">
        <v>836</v>
      </c>
      <c r="BD68" s="191">
        <v>2</v>
      </c>
      <c r="BE68" s="191">
        <v>0</v>
      </c>
      <c r="BF68" s="17" t="s">
        <v>837</v>
      </c>
      <c r="BG68" s="17" t="s">
        <v>150</v>
      </c>
      <c r="BH68" s="17" t="s">
        <v>203</v>
      </c>
      <c r="BI68" s="17" t="s">
        <v>204</v>
      </c>
      <c r="BJ68" s="17" t="s">
        <v>170</v>
      </c>
      <c r="BK68" s="17">
        <v>2</v>
      </c>
      <c r="BL68" s="191" t="s">
        <v>170</v>
      </c>
      <c r="BM68" s="17">
        <v>5</v>
      </c>
      <c r="BN68" s="17">
        <v>1</v>
      </c>
      <c r="BO68" s="191">
        <v>20</v>
      </c>
      <c r="BP68" s="323" t="s">
        <v>932</v>
      </c>
      <c r="BQ68" s="191" t="s">
        <v>173</v>
      </c>
      <c r="BR68" s="191" t="s">
        <v>173</v>
      </c>
      <c r="BS68" s="191"/>
      <c r="BT68" s="191" t="s">
        <v>443</v>
      </c>
      <c r="BU68" s="191" t="s">
        <v>928</v>
      </c>
      <c r="BV68" s="191"/>
      <c r="BW68" s="191" t="s">
        <v>216</v>
      </c>
      <c r="BX68" s="191" t="s">
        <v>776</v>
      </c>
      <c r="BY68" s="191" t="s">
        <v>776</v>
      </c>
      <c r="BZ68" s="302" cm="1">
        <f t="array" ref="BZ68">SUMPRODUCT(($B$4:$BY$4="Must have")*(B68:BY68&lt;&gt;"")*(UPPER(TRIM(B68:BY68))&lt;&gt;"TBD"))</f>
        <v>52</v>
      </c>
      <c r="CA68" s="302" cm="1">
        <f t="array" ref="CA68">SUMPRODUCT(($B$4:$BY$4="Must have")*((B68:BY68="")+(UPPER(TRIM(B68:BY68))="TBD")))</f>
        <v>0</v>
      </c>
      <c r="CB68" s="302" cm="1">
        <f t="array" ref="CB68">SUMPRODUCT(($B$4:$BY$4="Good to have")*(B68:BY68&lt;&gt;"")*(UPPER(TRIM(B68:BY68))&lt;&gt;"TBD"))</f>
        <v>21</v>
      </c>
      <c r="CC68" s="302" cm="1">
        <f t="array" ref="CC68">SUMPRODUCT(($B$4:$BY$4="Good to have")*((B68:BY68="")+(UPPER(TRIM(B68:BY68))="TBD")))</f>
        <v>2</v>
      </c>
      <c r="CD68" s="175" t="str">
        <f t="shared" si="1"/>
        <v>97.33%</v>
      </c>
      <c r="CF68" s="174" t="s">
        <v>845</v>
      </c>
    </row>
    <row r="69" spans="1:84" ht="18">
      <c r="A69" s="183" t="s">
        <v>522</v>
      </c>
      <c r="B69" s="190">
        <v>6512</v>
      </c>
      <c r="C69" s="191" t="s">
        <v>535</v>
      </c>
      <c r="D69" s="191" t="s">
        <v>536</v>
      </c>
      <c r="E69" s="191" t="s">
        <v>868</v>
      </c>
      <c r="F69" s="191" t="s">
        <v>179</v>
      </c>
      <c r="G69" s="192" t="s">
        <v>681</v>
      </c>
      <c r="H69" s="193" t="s">
        <v>905</v>
      </c>
      <c r="I69" s="193" t="s">
        <v>1063</v>
      </c>
      <c r="J69" s="191" t="s">
        <v>948</v>
      </c>
      <c r="K69" s="193" t="s">
        <v>1111</v>
      </c>
      <c r="L69" s="17" t="s">
        <v>814</v>
      </c>
      <c r="M69" s="17" t="s">
        <v>438</v>
      </c>
      <c r="N69" s="17" t="s">
        <v>138</v>
      </c>
      <c r="O69" s="17" t="s">
        <v>212</v>
      </c>
      <c r="P69" s="348">
        <v>46387</v>
      </c>
      <c r="Q69" s="191" t="s">
        <v>848</v>
      </c>
      <c r="R69" s="17" t="s">
        <v>342</v>
      </c>
      <c r="S69" s="17" t="s">
        <v>188</v>
      </c>
      <c r="T69" s="17">
        <v>1</v>
      </c>
      <c r="U69" s="17" t="s">
        <v>138</v>
      </c>
      <c r="V69" s="191" t="s">
        <v>173</v>
      </c>
      <c r="W69" s="191" t="s">
        <v>173</v>
      </c>
      <c r="X69" s="193" t="s">
        <v>715</v>
      </c>
      <c r="Y69" s="17" t="s">
        <v>661</v>
      </c>
      <c r="Z69" s="17" t="s">
        <v>915</v>
      </c>
      <c r="AA69" s="17" t="s">
        <v>150</v>
      </c>
      <c r="AB69" s="191" t="s">
        <v>150</v>
      </c>
      <c r="AC69" s="17" t="s">
        <v>663</v>
      </c>
      <c r="AD69" s="17" t="s">
        <v>664</v>
      </c>
      <c r="AE69" s="191" t="s">
        <v>150</v>
      </c>
      <c r="AF69" s="17" t="s">
        <v>150</v>
      </c>
      <c r="AG69" s="17" t="s">
        <v>150</v>
      </c>
      <c r="AH69" s="223" t="s">
        <v>443</v>
      </c>
      <c r="AI69" s="223">
        <v>1</v>
      </c>
      <c r="AJ69" s="223" t="s">
        <v>1102</v>
      </c>
      <c r="AK69" s="223" t="s">
        <v>173</v>
      </c>
      <c r="AL69" s="223" t="s">
        <v>173</v>
      </c>
      <c r="AM69" s="223" t="s">
        <v>173</v>
      </c>
      <c r="AN69" s="193" t="s">
        <v>863</v>
      </c>
      <c r="AO69" s="193" t="s">
        <v>443</v>
      </c>
      <c r="AP69" s="193">
        <v>0</v>
      </c>
      <c r="AQ69" s="17" t="s">
        <v>156</v>
      </c>
      <c r="AR69" s="191" t="s">
        <v>537</v>
      </c>
      <c r="AS69" s="191" t="s">
        <v>372</v>
      </c>
      <c r="AT69" s="17" t="s">
        <v>150</v>
      </c>
      <c r="AU69" s="193" t="s">
        <v>216</v>
      </c>
      <c r="AV69" s="17" t="s">
        <v>199</v>
      </c>
      <c r="AW69" s="17" t="s">
        <v>150</v>
      </c>
      <c r="AX69" s="193" t="s">
        <v>217</v>
      </c>
      <c r="AY69" s="17" t="s">
        <v>173</v>
      </c>
      <c r="AZ69" s="17" t="s">
        <v>173</v>
      </c>
      <c r="BA69" s="17" t="s">
        <v>752</v>
      </c>
      <c r="BB69" s="17" t="s">
        <v>674</v>
      </c>
      <c r="BC69" s="17" t="s">
        <v>836</v>
      </c>
      <c r="BD69" s="191">
        <v>2</v>
      </c>
      <c r="BE69" s="191">
        <v>0</v>
      </c>
      <c r="BF69" s="17" t="s">
        <v>837</v>
      </c>
      <c r="BG69" s="17" t="s">
        <v>150</v>
      </c>
      <c r="BH69" s="17" t="s">
        <v>203</v>
      </c>
      <c r="BI69" s="17" t="s">
        <v>204</v>
      </c>
      <c r="BJ69" s="17" t="s">
        <v>170</v>
      </c>
      <c r="BK69" s="17">
        <v>2</v>
      </c>
      <c r="BL69" s="191" t="s">
        <v>170</v>
      </c>
      <c r="BM69" s="17">
        <v>1</v>
      </c>
      <c r="BN69" s="17">
        <v>1</v>
      </c>
      <c r="BO69" s="191">
        <v>3</v>
      </c>
      <c r="BP69" s="191" t="s">
        <v>173</v>
      </c>
      <c r="BQ69" s="191" t="s">
        <v>173</v>
      </c>
      <c r="BR69" s="191" t="s">
        <v>173</v>
      </c>
      <c r="BS69" s="191"/>
      <c r="BT69" s="191" t="s">
        <v>443</v>
      </c>
      <c r="BU69" s="191" t="s">
        <v>928</v>
      </c>
      <c r="BV69" s="191"/>
      <c r="BW69" s="191" t="s">
        <v>216</v>
      </c>
      <c r="BX69" s="191" t="s">
        <v>776</v>
      </c>
      <c r="BY69" s="191" t="s">
        <v>776</v>
      </c>
      <c r="BZ69" s="302" cm="1">
        <f t="array" ref="BZ69">SUMPRODUCT(($B$4:$BY$4="Must have")*(B69:BY69&lt;&gt;"")*(UPPER(TRIM(B69:BY69))&lt;&gt;"TBD"))</f>
        <v>52</v>
      </c>
      <c r="CA69" s="302" cm="1">
        <f t="array" ref="CA69">SUMPRODUCT(($B$4:$BY$4="Must have")*((B69:BY69="")+(UPPER(TRIM(B69:BY69))="TBD")))</f>
        <v>0</v>
      </c>
      <c r="CB69" s="302" cm="1">
        <f t="array" ref="CB69">SUMPRODUCT(($B$4:$BY$4="Good to have")*(B69:BY69&lt;&gt;"")*(UPPER(TRIM(B69:BY69))&lt;&gt;"TBD"))</f>
        <v>21</v>
      </c>
      <c r="CC69" s="302" cm="1">
        <f t="array" ref="CC69">SUMPRODUCT(($B$4:$BY$4="Good to have")*((B69:BY69="")+(UPPER(TRIM(B69:BY69))="TBD")))</f>
        <v>2</v>
      </c>
      <c r="CD69" s="175" t="str">
        <f t="shared" si="1"/>
        <v>97.33%</v>
      </c>
      <c r="CF69" s="174" t="s">
        <v>845</v>
      </c>
    </row>
    <row r="70" spans="1:84" ht="18">
      <c r="A70" s="183" t="s">
        <v>526</v>
      </c>
      <c r="B70" s="190">
        <v>6859</v>
      </c>
      <c r="C70" s="191" t="s">
        <v>539</v>
      </c>
      <c r="D70" s="191" t="s">
        <v>540</v>
      </c>
      <c r="E70" s="191" t="s">
        <v>868</v>
      </c>
      <c r="F70" s="191" t="s">
        <v>179</v>
      </c>
      <c r="G70" s="192" t="s">
        <v>681</v>
      </c>
      <c r="H70" s="193" t="s">
        <v>905</v>
      </c>
      <c r="I70" s="193" t="s">
        <v>546</v>
      </c>
      <c r="J70" s="191" t="s">
        <v>1032</v>
      </c>
      <c r="K70" s="193" t="s">
        <v>182</v>
      </c>
      <c r="L70" s="17" t="s">
        <v>655</v>
      </c>
      <c r="M70" s="17" t="s">
        <v>1144</v>
      </c>
      <c r="N70" s="17" t="s">
        <v>138</v>
      </c>
      <c r="O70" s="17" t="s">
        <v>223</v>
      </c>
      <c r="P70" s="348">
        <v>46203</v>
      </c>
      <c r="Q70" s="191" t="s">
        <v>848</v>
      </c>
      <c r="R70" s="17" t="s">
        <v>1161</v>
      </c>
      <c r="S70" s="17" t="s">
        <v>188</v>
      </c>
      <c r="T70" s="17">
        <v>1</v>
      </c>
      <c r="U70" s="17" t="s">
        <v>1020</v>
      </c>
      <c r="V70" s="191" t="s">
        <v>658</v>
      </c>
      <c r="W70" s="191" t="s">
        <v>850</v>
      </c>
      <c r="X70" s="193" t="s">
        <v>715</v>
      </c>
      <c r="Y70" s="17" t="s">
        <v>661</v>
      </c>
      <c r="Z70" s="17" t="s">
        <v>662</v>
      </c>
      <c r="AA70" s="17" t="s">
        <v>150</v>
      </c>
      <c r="AB70" s="191" t="s">
        <v>150</v>
      </c>
      <c r="AC70" s="17" t="s">
        <v>663</v>
      </c>
      <c r="AD70" s="17" t="s">
        <v>664</v>
      </c>
      <c r="AE70" s="191" t="s">
        <v>150</v>
      </c>
      <c r="AF70" s="17" t="s">
        <v>150</v>
      </c>
      <c r="AG70" s="17" t="s">
        <v>150</v>
      </c>
      <c r="AH70" s="193" t="s">
        <v>1162</v>
      </c>
      <c r="AI70" s="193">
        <v>1</v>
      </c>
      <c r="AJ70" s="193" t="s">
        <v>1038</v>
      </c>
      <c r="AK70" s="193" t="s">
        <v>1091</v>
      </c>
      <c r="AL70" s="193">
        <v>0</v>
      </c>
      <c r="AM70" s="193" t="s">
        <v>810</v>
      </c>
      <c r="AN70" s="193" t="s">
        <v>863</v>
      </c>
      <c r="AO70" s="193" t="s">
        <v>216</v>
      </c>
      <c r="AP70" s="193">
        <v>0</v>
      </c>
      <c r="AQ70" s="17" t="s">
        <v>156</v>
      </c>
      <c r="AR70" s="191" t="s">
        <v>541</v>
      </c>
      <c r="AS70" s="191" t="s">
        <v>542</v>
      </c>
      <c r="AT70" s="17" t="s">
        <v>150</v>
      </c>
      <c r="AU70" s="193" t="s">
        <v>1163</v>
      </c>
      <c r="AV70" s="17" t="s">
        <v>199</v>
      </c>
      <c r="AW70" s="17" t="s">
        <v>150</v>
      </c>
      <c r="AX70" s="193" t="s">
        <v>217</v>
      </c>
      <c r="AY70" s="17"/>
      <c r="AZ70" s="17" t="s">
        <v>216</v>
      </c>
      <c r="BA70" s="17" t="s">
        <v>752</v>
      </c>
      <c r="BB70" s="17" t="s">
        <v>201</v>
      </c>
      <c r="BC70" s="17" t="s">
        <v>836</v>
      </c>
      <c r="BD70" s="191">
        <v>1</v>
      </c>
      <c r="BE70" s="191">
        <v>0</v>
      </c>
      <c r="BF70" s="17" t="s">
        <v>1093</v>
      </c>
      <c r="BG70" s="17" t="s">
        <v>150</v>
      </c>
      <c r="BH70" s="17" t="s">
        <v>168</v>
      </c>
      <c r="BI70" s="17" t="s">
        <v>169</v>
      </c>
      <c r="BJ70" s="17" t="s">
        <v>170</v>
      </c>
      <c r="BK70" s="17">
        <v>2</v>
      </c>
      <c r="BL70" s="191" t="s">
        <v>170</v>
      </c>
      <c r="BM70" s="17" t="s">
        <v>1094</v>
      </c>
      <c r="BN70" s="17" t="s">
        <v>1095</v>
      </c>
      <c r="BO70" s="191">
        <v>47</v>
      </c>
      <c r="BP70" s="191" t="s">
        <v>1164</v>
      </c>
      <c r="BQ70" s="191" t="s">
        <v>216</v>
      </c>
      <c r="BR70" s="191" t="s">
        <v>216</v>
      </c>
      <c r="BS70" s="191" t="s">
        <v>1165</v>
      </c>
      <c r="BT70" s="191" t="s">
        <v>1081</v>
      </c>
      <c r="BU70" s="191" t="s">
        <v>546</v>
      </c>
      <c r="BV70" s="191" t="s">
        <v>1166</v>
      </c>
      <c r="BW70" s="191" t="s">
        <v>216</v>
      </c>
      <c r="BX70" s="191" t="s">
        <v>776</v>
      </c>
      <c r="BY70" s="191" t="s">
        <v>776</v>
      </c>
      <c r="BZ70" s="302" cm="1">
        <f t="array" ref="BZ70">SUMPRODUCT(($B$4:$BY$4="Must have")*(B70:BY70&lt;&gt;"")*(UPPER(TRIM(B70:BY70))&lt;&gt;"TBD"))</f>
        <v>51</v>
      </c>
      <c r="CA70" s="302" cm="1">
        <f t="array" ref="CA70">SUMPRODUCT(($B$4:$BY$4="Must have")*((B70:BY70="")+(UPPER(TRIM(B70:BY70))="TBD")))</f>
        <v>1</v>
      </c>
      <c r="CB70" s="302" cm="1">
        <f t="array" ref="CB70">SUMPRODUCT(($B$4:$BY$4="Good to have")*(B70:BY70&lt;&gt;"")*(UPPER(TRIM(B70:BY70))&lt;&gt;"TBD"))</f>
        <v>23</v>
      </c>
      <c r="CC70" s="302" cm="1">
        <f t="array" ref="CC70">SUMPRODUCT(($B$4:$BY$4="Good to have")*((B70:BY70="")+(UPPER(TRIM(B70:BY70))="TBD")))</f>
        <v>0</v>
      </c>
      <c r="CD70" s="175" t="str">
        <f t="shared" si="1"/>
        <v>98.67%</v>
      </c>
      <c r="CF70" s="174" t="s">
        <v>845</v>
      </c>
    </row>
    <row r="71" spans="1:84" ht="66.599999999999994" customHeight="1">
      <c r="A71" s="183" t="s">
        <v>530</v>
      </c>
      <c r="B71" s="190">
        <v>7558</v>
      </c>
      <c r="C71" s="191" t="s">
        <v>544</v>
      </c>
      <c r="D71" s="191" t="s">
        <v>545</v>
      </c>
      <c r="E71" s="191" t="s">
        <v>868</v>
      </c>
      <c r="F71" s="191" t="s">
        <v>179</v>
      </c>
      <c r="G71" s="192" t="s">
        <v>681</v>
      </c>
      <c r="H71" s="193" t="s">
        <v>905</v>
      </c>
      <c r="I71" s="310" t="s">
        <v>1167</v>
      </c>
      <c r="J71" s="191" t="s">
        <v>1032</v>
      </c>
      <c r="K71" s="193" t="s">
        <v>182</v>
      </c>
      <c r="L71" s="17" t="s">
        <v>814</v>
      </c>
      <c r="M71" s="17" t="s">
        <v>816</v>
      </c>
      <c r="N71" s="17" t="s">
        <v>138</v>
      </c>
      <c r="O71" s="17" t="s">
        <v>223</v>
      </c>
      <c r="P71" s="348">
        <v>46387</v>
      </c>
      <c r="Q71" s="191" t="s">
        <v>848</v>
      </c>
      <c r="R71" s="324" t="s">
        <v>1168</v>
      </c>
      <c r="S71" s="17" t="s">
        <v>188</v>
      </c>
      <c r="T71" s="17">
        <v>1</v>
      </c>
      <c r="U71" s="17" t="s">
        <v>936</v>
      </c>
      <c r="V71" s="191" t="s">
        <v>658</v>
      </c>
      <c r="W71" s="191" t="s">
        <v>850</v>
      </c>
      <c r="X71" s="193" t="s">
        <v>715</v>
      </c>
      <c r="Y71" s="17" t="s">
        <v>661</v>
      </c>
      <c r="Z71" s="17" t="s">
        <v>662</v>
      </c>
      <c r="AA71" s="17" t="s">
        <v>150</v>
      </c>
      <c r="AB71" s="191" t="s">
        <v>150</v>
      </c>
      <c r="AC71" s="17" t="s">
        <v>663</v>
      </c>
      <c r="AD71" s="17" t="s">
        <v>664</v>
      </c>
      <c r="AE71" s="191" t="s">
        <v>150</v>
      </c>
      <c r="AF71" s="17" t="s">
        <v>150</v>
      </c>
      <c r="AG71" s="17" t="s">
        <v>150</v>
      </c>
      <c r="AH71" s="193" t="s">
        <v>1169</v>
      </c>
      <c r="AI71" s="193">
        <v>1</v>
      </c>
      <c r="AJ71" s="193" t="s">
        <v>1036</v>
      </c>
      <c r="AK71" s="193" t="s">
        <v>1091</v>
      </c>
      <c r="AL71" s="193">
        <v>0</v>
      </c>
      <c r="AM71" s="193" t="s">
        <v>1170</v>
      </c>
      <c r="AN71" s="193" t="s">
        <v>863</v>
      </c>
      <c r="AO71" s="193" t="s">
        <v>216</v>
      </c>
      <c r="AP71" s="193">
        <v>0</v>
      </c>
      <c r="AQ71" s="17" t="s">
        <v>156</v>
      </c>
      <c r="AR71" s="191" t="s">
        <v>547</v>
      </c>
      <c r="AS71" s="191" t="s">
        <v>548</v>
      </c>
      <c r="AT71" s="17" t="s">
        <v>150</v>
      </c>
      <c r="AU71" s="193" t="s">
        <v>225</v>
      </c>
      <c r="AV71" s="17" t="s">
        <v>199</v>
      </c>
      <c r="AW71" s="17" t="s">
        <v>150</v>
      </c>
      <c r="AX71" s="193" t="s">
        <v>160</v>
      </c>
      <c r="AY71" s="17" t="s">
        <v>1171</v>
      </c>
      <c r="AZ71" s="17" t="s">
        <v>216</v>
      </c>
      <c r="BA71" s="17" t="s">
        <v>1172</v>
      </c>
      <c r="BB71" s="17" t="s">
        <v>201</v>
      </c>
      <c r="BC71" s="17" t="s">
        <v>836</v>
      </c>
      <c r="BD71" s="191">
        <v>1</v>
      </c>
      <c r="BE71" s="191">
        <v>0</v>
      </c>
      <c r="BF71" s="17" t="s">
        <v>1093</v>
      </c>
      <c r="BG71" s="17" t="s">
        <v>138</v>
      </c>
      <c r="BH71" s="17" t="s">
        <v>168</v>
      </c>
      <c r="BI71" s="17" t="s">
        <v>838</v>
      </c>
      <c r="BJ71" s="17" t="s">
        <v>170</v>
      </c>
      <c r="BK71" s="17">
        <v>2</v>
      </c>
      <c r="BL71" s="191" t="s">
        <v>170</v>
      </c>
      <c r="BM71" s="17" t="s">
        <v>1094</v>
      </c>
      <c r="BN71" s="17" t="s">
        <v>1095</v>
      </c>
      <c r="BO71" s="191">
        <v>47</v>
      </c>
      <c r="BP71" s="324" t="s">
        <v>1173</v>
      </c>
      <c r="BQ71" s="191" t="s">
        <v>216</v>
      </c>
      <c r="BR71" s="191" t="s">
        <v>216</v>
      </c>
      <c r="BS71" s="191" t="s">
        <v>215</v>
      </c>
      <c r="BT71" s="191" t="s">
        <v>544</v>
      </c>
      <c r="BU71" s="191" t="s">
        <v>546</v>
      </c>
      <c r="BV71" s="191" t="s">
        <v>1166</v>
      </c>
      <c r="BW71" s="191" t="s">
        <v>842</v>
      </c>
      <c r="BX71" s="191" t="s">
        <v>843</v>
      </c>
      <c r="BY71" s="191" t="s">
        <v>844</v>
      </c>
      <c r="BZ71" s="302" cm="1">
        <f t="array" ref="BZ71">SUMPRODUCT(($B$4:$BY$4="Must have")*(B71:BY71&lt;&gt;"")*(UPPER(TRIM(B71:BY71))&lt;&gt;"TBD"))</f>
        <v>52</v>
      </c>
      <c r="CA71" s="302" cm="1">
        <f t="array" ref="CA71">SUMPRODUCT(($B$4:$BY$4="Must have")*((B71:BY71="")+(UPPER(TRIM(B71:BY71))="TBD")))</f>
        <v>0</v>
      </c>
      <c r="CB71" s="302" cm="1">
        <f t="array" ref="CB71">SUMPRODUCT(($B$4:$BY$4="Good to have")*(B71:BY71&lt;&gt;"")*(UPPER(TRIM(B71:BY71))&lt;&gt;"TBD"))</f>
        <v>22</v>
      </c>
      <c r="CC71" s="302" cm="1">
        <f t="array" ref="CC71">SUMPRODUCT(($B$4:$BY$4="Good to have")*((B71:BY71="")+(UPPER(TRIM(B71:BY71))="TBD")))</f>
        <v>1</v>
      </c>
      <c r="CD71" s="175" t="str">
        <f t="shared" ref="CD71:CD80" si="2">ROUND(((BZ71+CB71)/(BZ71+CA71+CB71+CC71)) * 100, 2) &amp; "%"</f>
        <v>98.67%</v>
      </c>
      <c r="CF71" s="174" t="s">
        <v>845</v>
      </c>
    </row>
    <row r="72" spans="1:84" ht="18">
      <c r="A72" s="183" t="s">
        <v>534</v>
      </c>
      <c r="B72" s="190">
        <v>7814</v>
      </c>
      <c r="C72" s="191" t="s">
        <v>550</v>
      </c>
      <c r="D72" s="191" t="s">
        <v>551</v>
      </c>
      <c r="E72" s="191" t="s">
        <v>868</v>
      </c>
      <c r="F72" s="191" t="s">
        <v>179</v>
      </c>
      <c r="G72" s="192" t="s">
        <v>681</v>
      </c>
      <c r="H72" s="193" t="s">
        <v>1174</v>
      </c>
      <c r="I72" s="193" t="s">
        <v>546</v>
      </c>
      <c r="J72" s="191" t="s">
        <v>1032</v>
      </c>
      <c r="K72" s="193" t="s">
        <v>182</v>
      </c>
      <c r="L72" s="17" t="s">
        <v>906</v>
      </c>
      <c r="M72" s="17" t="s">
        <v>438</v>
      </c>
      <c r="N72" s="17" t="s">
        <v>138</v>
      </c>
      <c r="O72" s="17" t="s">
        <v>223</v>
      </c>
      <c r="P72" s="348">
        <v>46203</v>
      </c>
      <c r="Q72" s="191" t="s">
        <v>848</v>
      </c>
      <c r="R72" s="324" t="s">
        <v>1175</v>
      </c>
      <c r="S72" s="17" t="s">
        <v>188</v>
      </c>
      <c r="T72" s="17">
        <v>1</v>
      </c>
      <c r="U72" s="324" t="s">
        <v>1176</v>
      </c>
      <c r="V72" s="191" t="s">
        <v>658</v>
      </c>
      <c r="W72" s="191" t="s">
        <v>850</v>
      </c>
      <c r="X72" s="193" t="s">
        <v>715</v>
      </c>
      <c r="Y72" s="17" t="s">
        <v>661</v>
      </c>
      <c r="Z72" s="17" t="s">
        <v>662</v>
      </c>
      <c r="AA72" s="17" t="s">
        <v>150</v>
      </c>
      <c r="AB72" s="191" t="s">
        <v>150</v>
      </c>
      <c r="AC72" s="17" t="s">
        <v>663</v>
      </c>
      <c r="AD72" s="17" t="s">
        <v>191</v>
      </c>
      <c r="AE72" s="191" t="s">
        <v>150</v>
      </c>
      <c r="AF72" s="17" t="s">
        <v>150</v>
      </c>
      <c r="AG72" s="17" t="s">
        <v>150</v>
      </c>
      <c r="AH72" s="193" t="s">
        <v>1091</v>
      </c>
      <c r="AI72" s="193">
        <v>0</v>
      </c>
      <c r="AJ72" s="193"/>
      <c r="AK72" s="193" t="s">
        <v>1091</v>
      </c>
      <c r="AL72" s="193">
        <v>0</v>
      </c>
      <c r="AM72" s="193" t="s">
        <v>1170</v>
      </c>
      <c r="AN72" s="193" t="s">
        <v>863</v>
      </c>
      <c r="AO72" s="193" t="s">
        <v>1177</v>
      </c>
      <c r="AP72" s="193">
        <v>0</v>
      </c>
      <c r="AQ72" s="17"/>
      <c r="AR72" s="191" t="s">
        <v>216</v>
      </c>
      <c r="AS72" s="191" t="s">
        <v>552</v>
      </c>
      <c r="AT72" s="17" t="s">
        <v>150</v>
      </c>
      <c r="AU72" s="193" t="s">
        <v>216</v>
      </c>
      <c r="AV72" s="17" t="s">
        <v>199</v>
      </c>
      <c r="AW72" s="17" t="s">
        <v>150</v>
      </c>
      <c r="AX72" s="193" t="s">
        <v>216</v>
      </c>
      <c r="AY72" s="17"/>
      <c r="AZ72" s="17" t="s">
        <v>216</v>
      </c>
      <c r="BA72" s="17" t="s">
        <v>752</v>
      </c>
      <c r="BB72" s="17" t="s">
        <v>201</v>
      </c>
      <c r="BC72" s="17" t="s">
        <v>836</v>
      </c>
      <c r="BD72" s="191">
        <v>102</v>
      </c>
      <c r="BE72" s="191">
        <v>0</v>
      </c>
      <c r="BF72" s="17" t="s">
        <v>1093</v>
      </c>
      <c r="BG72" s="17" t="s">
        <v>150</v>
      </c>
      <c r="BH72" s="17" t="s">
        <v>168</v>
      </c>
      <c r="BI72" s="17" t="s">
        <v>169</v>
      </c>
      <c r="BJ72" s="17" t="s">
        <v>170</v>
      </c>
      <c r="BK72" s="17">
        <v>2</v>
      </c>
      <c r="BL72" s="191" t="s">
        <v>170</v>
      </c>
      <c r="BM72" s="17" t="s">
        <v>1094</v>
      </c>
      <c r="BN72" s="17" t="s">
        <v>1095</v>
      </c>
      <c r="BO72" s="191">
        <v>47</v>
      </c>
      <c r="BP72" s="191" t="s">
        <v>1178</v>
      </c>
      <c r="BQ72" s="191" t="s">
        <v>216</v>
      </c>
      <c r="BR72" s="191" t="s">
        <v>216</v>
      </c>
      <c r="BS72" s="191" t="s">
        <v>215</v>
      </c>
      <c r="BT72" s="191" t="s">
        <v>436</v>
      </c>
      <c r="BU72" s="191"/>
      <c r="BV72" s="191"/>
      <c r="BW72" s="191" t="s">
        <v>216</v>
      </c>
      <c r="BX72" s="191" t="s">
        <v>216</v>
      </c>
      <c r="BY72" s="191" t="s">
        <v>216</v>
      </c>
      <c r="BZ72" s="302" cm="1">
        <f t="array" ref="BZ72">SUMPRODUCT(($B$4:$BY$4="Must have")*(B72:BY72&lt;&gt;"")*(UPPER(TRIM(B72:BY72))&lt;&gt;"TBD"))</f>
        <v>49</v>
      </c>
      <c r="CA72" s="302" cm="1">
        <f t="array" ref="CA72">SUMPRODUCT(($B$4:$BY$4="Must have")*((B72:BY72="")+(UPPER(TRIM(B72:BY72))="TBD")))</f>
        <v>3</v>
      </c>
      <c r="CB72" s="302" cm="1">
        <f t="array" ref="CB72">SUMPRODUCT(($B$4:$BY$4="Good to have")*(B72:BY72&lt;&gt;"")*(UPPER(TRIM(B72:BY72))&lt;&gt;"TBD"))</f>
        <v>20</v>
      </c>
      <c r="CC72" s="302" cm="1">
        <f t="array" ref="CC72">SUMPRODUCT(($B$4:$BY$4="Good to have")*((B72:BY72="")+(UPPER(TRIM(B72:BY72))="TBD")))</f>
        <v>3</v>
      </c>
      <c r="CD72" s="175" t="str">
        <f t="shared" si="2"/>
        <v>92%</v>
      </c>
      <c r="CF72" s="174" t="s">
        <v>845</v>
      </c>
    </row>
    <row r="73" spans="1:84" ht="18">
      <c r="A73" s="183" t="s">
        <v>538</v>
      </c>
      <c r="B73" s="190">
        <v>7866</v>
      </c>
      <c r="C73" s="191" t="s">
        <v>555</v>
      </c>
      <c r="D73" s="191" t="s">
        <v>556</v>
      </c>
      <c r="E73" s="191" t="s">
        <v>868</v>
      </c>
      <c r="F73" s="191" t="s">
        <v>179</v>
      </c>
      <c r="G73" s="192" t="s">
        <v>681</v>
      </c>
      <c r="H73" s="193" t="s">
        <v>905</v>
      </c>
      <c r="I73" s="193" t="s">
        <v>546</v>
      </c>
      <c r="J73" s="191" t="s">
        <v>1032</v>
      </c>
      <c r="K73" s="193" t="s">
        <v>182</v>
      </c>
      <c r="L73" s="17" t="s">
        <v>906</v>
      </c>
      <c r="M73" s="17" t="s">
        <v>1179</v>
      </c>
      <c r="N73" s="17" t="s">
        <v>138</v>
      </c>
      <c r="O73" s="17" t="s">
        <v>223</v>
      </c>
      <c r="P73" s="348">
        <v>46387</v>
      </c>
      <c r="Q73" s="191" t="s">
        <v>848</v>
      </c>
      <c r="R73" s="327" t="s">
        <v>1180</v>
      </c>
      <c r="S73" s="17" t="s">
        <v>188</v>
      </c>
      <c r="T73" s="17">
        <v>1</v>
      </c>
      <c r="U73" s="17" t="s">
        <v>1181</v>
      </c>
      <c r="V73" s="191" t="s">
        <v>658</v>
      </c>
      <c r="W73" s="191" t="s">
        <v>850</v>
      </c>
      <c r="X73" s="193" t="s">
        <v>715</v>
      </c>
      <c r="Y73" s="17" t="s">
        <v>661</v>
      </c>
      <c r="Z73" s="17" t="s">
        <v>662</v>
      </c>
      <c r="AA73" s="17" t="s">
        <v>150</v>
      </c>
      <c r="AB73" s="191" t="s">
        <v>150</v>
      </c>
      <c r="AC73" s="17" t="s">
        <v>663</v>
      </c>
      <c r="AD73" s="17" t="s">
        <v>664</v>
      </c>
      <c r="AE73" s="191" t="s">
        <v>150</v>
      </c>
      <c r="AF73" s="17" t="s">
        <v>150</v>
      </c>
      <c r="AG73" s="17" t="s">
        <v>150</v>
      </c>
      <c r="AH73" s="193" t="s">
        <v>1162</v>
      </c>
      <c r="AI73" s="193">
        <v>1</v>
      </c>
      <c r="AJ73" s="193" t="s">
        <v>1038</v>
      </c>
      <c r="AK73" s="193" t="s">
        <v>401</v>
      </c>
      <c r="AL73" s="193">
        <v>1</v>
      </c>
      <c r="AM73" s="193" t="s">
        <v>1038</v>
      </c>
      <c r="AN73" s="193" t="s">
        <v>863</v>
      </c>
      <c r="AO73" s="193" t="s">
        <v>1182</v>
      </c>
      <c r="AP73" s="193">
        <v>0</v>
      </c>
      <c r="AQ73" s="17"/>
      <c r="AR73" s="191" t="s">
        <v>216</v>
      </c>
      <c r="AS73" s="191" t="s">
        <v>216</v>
      </c>
      <c r="AT73" s="17" t="s">
        <v>150</v>
      </c>
      <c r="AU73" s="193" t="s">
        <v>225</v>
      </c>
      <c r="AV73" s="17" t="s">
        <v>199</v>
      </c>
      <c r="AW73" s="17" t="s">
        <v>150</v>
      </c>
      <c r="AX73" s="193" t="s">
        <v>160</v>
      </c>
      <c r="AY73" s="17" t="s">
        <v>1171</v>
      </c>
      <c r="AZ73" s="17" t="s">
        <v>216</v>
      </c>
      <c r="BA73" s="17" t="s">
        <v>752</v>
      </c>
      <c r="BB73" s="17" t="s">
        <v>201</v>
      </c>
      <c r="BC73" s="17" t="s">
        <v>836</v>
      </c>
      <c r="BD73" s="191">
        <v>1</v>
      </c>
      <c r="BE73" s="191">
        <v>0</v>
      </c>
      <c r="BF73" s="17" t="s">
        <v>1093</v>
      </c>
      <c r="BG73" s="17" t="s">
        <v>150</v>
      </c>
      <c r="BH73" s="17" t="s">
        <v>168</v>
      </c>
      <c r="BI73" s="17" t="s">
        <v>169</v>
      </c>
      <c r="BJ73" s="17" t="s">
        <v>170</v>
      </c>
      <c r="BK73" s="17">
        <v>2</v>
      </c>
      <c r="BL73" s="191" t="s">
        <v>170</v>
      </c>
      <c r="BM73" s="17" t="s">
        <v>1094</v>
      </c>
      <c r="BN73" s="17" t="s">
        <v>1095</v>
      </c>
      <c r="BO73" s="191">
        <v>47</v>
      </c>
      <c r="BP73" s="327" t="s">
        <v>1173</v>
      </c>
      <c r="BQ73" s="191" t="s">
        <v>216</v>
      </c>
      <c r="BR73" s="191" t="s">
        <v>216</v>
      </c>
      <c r="BS73" s="191" t="s">
        <v>215</v>
      </c>
      <c r="BT73" s="191" t="s">
        <v>555</v>
      </c>
      <c r="BU73" s="191" t="s">
        <v>546</v>
      </c>
      <c r="BV73" s="191" t="s">
        <v>1183</v>
      </c>
      <c r="BW73" s="191" t="s">
        <v>844</v>
      </c>
      <c r="BX73" s="191" t="s">
        <v>771</v>
      </c>
      <c r="BY73" s="191" t="s">
        <v>771</v>
      </c>
      <c r="BZ73" s="302" cm="1">
        <f t="array" ref="BZ73">SUMPRODUCT(($B$4:$BY$4="Must have")*(B73:BY73&lt;&gt;"")*(UPPER(TRIM(B73:BY73))&lt;&gt;"TBD"))</f>
        <v>51</v>
      </c>
      <c r="CA73" s="302" cm="1">
        <f t="array" ref="CA73">SUMPRODUCT(($B$4:$BY$4="Must have")*((B73:BY73="")+(UPPER(TRIM(B73:BY73))="TBD")))</f>
        <v>1</v>
      </c>
      <c r="CB73" s="302" cm="1">
        <f t="array" ref="CB73">SUMPRODUCT(($B$4:$BY$4="Good to have")*(B73:BY73&lt;&gt;"")*(UPPER(TRIM(B73:BY73))&lt;&gt;"TBD"))</f>
        <v>22</v>
      </c>
      <c r="CC73" s="302" cm="1">
        <f t="array" ref="CC73">SUMPRODUCT(($B$4:$BY$4="Good to have")*((B73:BY73="")+(UPPER(TRIM(B73:BY73))="TBD")))</f>
        <v>1</v>
      </c>
      <c r="CD73" s="175" t="str">
        <f t="shared" si="2"/>
        <v>97.33%</v>
      </c>
      <c r="CF73" s="174" t="s">
        <v>845</v>
      </c>
    </row>
    <row r="74" spans="1:84" ht="18">
      <c r="A74" s="183" t="s">
        <v>543</v>
      </c>
      <c r="B74" s="190">
        <v>7944</v>
      </c>
      <c r="C74" s="191" t="s">
        <v>560</v>
      </c>
      <c r="D74" s="191" t="s">
        <v>561</v>
      </c>
      <c r="E74" s="191" t="s">
        <v>868</v>
      </c>
      <c r="F74" s="191" t="s">
        <v>179</v>
      </c>
      <c r="G74" s="192" t="s">
        <v>681</v>
      </c>
      <c r="H74" s="193" t="s">
        <v>1070</v>
      </c>
      <c r="I74" s="193" t="s">
        <v>1184</v>
      </c>
      <c r="J74" s="191" t="s">
        <v>1032</v>
      </c>
      <c r="K74" s="193" t="s">
        <v>772</v>
      </c>
      <c r="L74" s="17" t="s">
        <v>814</v>
      </c>
      <c r="M74" s="17" t="s">
        <v>438</v>
      </c>
      <c r="N74" s="17" t="s">
        <v>150</v>
      </c>
      <c r="O74" s="17" t="s">
        <v>212</v>
      </c>
      <c r="P74" s="348">
        <v>46387</v>
      </c>
      <c r="Q74" s="191" t="s">
        <v>848</v>
      </c>
      <c r="R74" s="17" t="s">
        <v>1185</v>
      </c>
      <c r="S74" s="17" t="s">
        <v>663</v>
      </c>
      <c r="T74" s="17">
        <v>1</v>
      </c>
      <c r="U74" s="17" t="s">
        <v>173</v>
      </c>
      <c r="V74" s="191" t="s">
        <v>173</v>
      </c>
      <c r="W74" s="191" t="s">
        <v>173</v>
      </c>
      <c r="X74" s="193" t="s">
        <v>715</v>
      </c>
      <c r="Y74" s="17" t="s">
        <v>661</v>
      </c>
      <c r="Z74" s="17" t="s">
        <v>915</v>
      </c>
      <c r="AA74" s="17" t="s">
        <v>150</v>
      </c>
      <c r="AB74" s="191" t="s">
        <v>150</v>
      </c>
      <c r="AC74" s="17" t="s">
        <v>663</v>
      </c>
      <c r="AD74" s="17" t="s">
        <v>191</v>
      </c>
      <c r="AE74" s="191" t="s">
        <v>150</v>
      </c>
      <c r="AF74" s="17" t="s">
        <v>150</v>
      </c>
      <c r="AG74" s="17" t="s">
        <v>150</v>
      </c>
      <c r="AH74" s="223" t="s">
        <v>1186</v>
      </c>
      <c r="AI74" s="223">
        <v>1</v>
      </c>
      <c r="AJ74" s="223" t="s">
        <v>1187</v>
      </c>
      <c r="AK74" s="223" t="s">
        <v>443</v>
      </c>
      <c r="AL74" s="223">
        <v>1</v>
      </c>
      <c r="AM74" s="223" t="s">
        <v>1188</v>
      </c>
      <c r="AN74" s="193" t="s">
        <v>863</v>
      </c>
      <c r="AO74" s="193" t="s">
        <v>1189</v>
      </c>
      <c r="AP74" s="193">
        <v>0</v>
      </c>
      <c r="AQ74" s="193" t="s">
        <v>173</v>
      </c>
      <c r="AR74" s="191" t="s">
        <v>1190</v>
      </c>
      <c r="AS74" s="191" t="s">
        <v>216</v>
      </c>
      <c r="AT74" s="17" t="s">
        <v>150</v>
      </c>
      <c r="AU74" s="193" t="s">
        <v>216</v>
      </c>
      <c r="AV74" s="193" t="s">
        <v>216</v>
      </c>
      <c r="AW74" s="17" t="s">
        <v>150</v>
      </c>
      <c r="AX74" s="193" t="s">
        <v>217</v>
      </c>
      <c r="AY74" s="17" t="s">
        <v>173</v>
      </c>
      <c r="AZ74" s="17" t="s">
        <v>173</v>
      </c>
      <c r="BA74" s="17" t="s">
        <v>752</v>
      </c>
      <c r="BB74" s="17" t="s">
        <v>674</v>
      </c>
      <c r="BC74" s="17" t="s">
        <v>836</v>
      </c>
      <c r="BD74" s="191">
        <v>2</v>
      </c>
      <c r="BE74" s="191">
        <v>0</v>
      </c>
      <c r="BF74" s="17" t="s">
        <v>837</v>
      </c>
      <c r="BG74" s="17" t="s">
        <v>150</v>
      </c>
      <c r="BH74" s="17" t="s">
        <v>168</v>
      </c>
      <c r="BI74" s="17" t="s">
        <v>838</v>
      </c>
      <c r="BJ74" s="17" t="s">
        <v>170</v>
      </c>
      <c r="BK74" s="17">
        <v>2</v>
      </c>
      <c r="BL74" s="191" t="s">
        <v>170</v>
      </c>
      <c r="BM74" s="17">
        <v>1</v>
      </c>
      <c r="BN74" s="17" t="s">
        <v>173</v>
      </c>
      <c r="BO74" s="191" t="s">
        <v>173</v>
      </c>
      <c r="BP74" s="191" t="s">
        <v>173</v>
      </c>
      <c r="BQ74" s="191" t="s">
        <v>173</v>
      </c>
      <c r="BR74" s="191" t="s">
        <v>173</v>
      </c>
      <c r="BS74" s="191"/>
      <c r="BT74" s="191" t="s">
        <v>448</v>
      </c>
      <c r="BU74" s="191"/>
      <c r="BV74" s="191"/>
      <c r="BW74" s="191" t="s">
        <v>216</v>
      </c>
      <c r="BX74" s="191" t="s">
        <v>776</v>
      </c>
      <c r="BY74" s="191" t="s">
        <v>776</v>
      </c>
      <c r="BZ74" s="302" cm="1">
        <f t="array" ref="BZ74">SUMPRODUCT(($B$4:$BY$4="Must have")*(B74:BY74&lt;&gt;"")*(UPPER(TRIM(B74:BY74))&lt;&gt;"TBD"))</f>
        <v>52</v>
      </c>
      <c r="CA74" s="302" cm="1">
        <f t="array" ref="CA74">SUMPRODUCT(($B$4:$BY$4="Must have")*((B74:BY74="")+(UPPER(TRIM(B74:BY74))="TBD")))</f>
        <v>0</v>
      </c>
      <c r="CB74" s="302" cm="1">
        <f t="array" ref="CB74">SUMPRODUCT(($B$4:$BY$4="Good to have")*(B74:BY74&lt;&gt;"")*(UPPER(TRIM(B74:BY74))&lt;&gt;"TBD"))</f>
        <v>20</v>
      </c>
      <c r="CC74" s="302" cm="1">
        <f t="array" ref="CC74">SUMPRODUCT(($B$4:$BY$4="Good to have")*((B74:BY74="")+(UPPER(TRIM(B74:BY74))="TBD")))</f>
        <v>3</v>
      </c>
      <c r="CD74" s="175" t="str">
        <f t="shared" si="2"/>
        <v>96%</v>
      </c>
      <c r="CF74" s="174" t="s">
        <v>845</v>
      </c>
    </row>
    <row r="75" spans="1:84" ht="45" customHeight="1">
      <c r="A75" s="183" t="s">
        <v>549</v>
      </c>
      <c r="B75" s="190">
        <v>7954</v>
      </c>
      <c r="C75" s="191" t="s">
        <v>564</v>
      </c>
      <c r="D75" s="191" t="s">
        <v>565</v>
      </c>
      <c r="E75" s="191" t="s">
        <v>868</v>
      </c>
      <c r="F75" s="191" t="s">
        <v>179</v>
      </c>
      <c r="G75" s="192" t="s">
        <v>681</v>
      </c>
      <c r="H75" s="193" t="s">
        <v>1070</v>
      </c>
      <c r="I75" s="193" t="s">
        <v>546</v>
      </c>
      <c r="J75" s="191" t="s">
        <v>1032</v>
      </c>
      <c r="K75" s="193" t="s">
        <v>772</v>
      </c>
      <c r="L75" s="17" t="s">
        <v>920</v>
      </c>
      <c r="M75" s="17" t="s">
        <v>438</v>
      </c>
      <c r="N75" s="17" t="s">
        <v>150</v>
      </c>
      <c r="O75" s="17" t="s">
        <v>223</v>
      </c>
      <c r="P75" s="348">
        <v>46387</v>
      </c>
      <c r="Q75" s="191" t="s">
        <v>848</v>
      </c>
      <c r="R75" s="328" t="s">
        <v>1191</v>
      </c>
      <c r="S75" s="17" t="s">
        <v>188</v>
      </c>
      <c r="T75" s="17">
        <v>1</v>
      </c>
      <c r="U75" s="17" t="s">
        <v>1020</v>
      </c>
      <c r="V75" s="191" t="s">
        <v>658</v>
      </c>
      <c r="W75" s="191" t="s">
        <v>850</v>
      </c>
      <c r="X75" s="193" t="s">
        <v>715</v>
      </c>
      <c r="Y75" s="17" t="s">
        <v>661</v>
      </c>
      <c r="Z75" s="17" t="s">
        <v>662</v>
      </c>
      <c r="AA75" s="17" t="s">
        <v>150</v>
      </c>
      <c r="AB75" s="191" t="s">
        <v>150</v>
      </c>
      <c r="AC75" s="17" t="s">
        <v>663</v>
      </c>
      <c r="AD75" s="17" t="s">
        <v>664</v>
      </c>
      <c r="AE75" s="191" t="s">
        <v>150</v>
      </c>
      <c r="AF75" s="17" t="s">
        <v>150</v>
      </c>
      <c r="AG75" s="17" t="s">
        <v>150</v>
      </c>
      <c r="AH75" s="193" t="s">
        <v>1192</v>
      </c>
      <c r="AI75" s="193">
        <v>1</v>
      </c>
      <c r="AJ75" s="193" t="s">
        <v>1038</v>
      </c>
      <c r="AK75" s="193" t="s">
        <v>1091</v>
      </c>
      <c r="AL75" s="193">
        <v>0</v>
      </c>
      <c r="AM75" s="193" t="s">
        <v>1170</v>
      </c>
      <c r="AN75" s="193" t="s">
        <v>863</v>
      </c>
      <c r="AO75" s="193" t="s">
        <v>1193</v>
      </c>
      <c r="AP75" s="193">
        <v>0</v>
      </c>
      <c r="AQ75" s="17"/>
      <c r="AR75" s="191" t="s">
        <v>216</v>
      </c>
      <c r="AS75" s="191" t="s">
        <v>216</v>
      </c>
      <c r="AT75" s="17" t="s">
        <v>150</v>
      </c>
      <c r="AU75" s="193" t="s">
        <v>216</v>
      </c>
      <c r="AV75" s="17" t="s">
        <v>199</v>
      </c>
      <c r="AW75" s="17" t="s">
        <v>150</v>
      </c>
      <c r="AX75" s="193" t="s">
        <v>216</v>
      </c>
      <c r="AY75" s="17"/>
      <c r="AZ75" s="17" t="s">
        <v>216</v>
      </c>
      <c r="BA75" s="17" t="s">
        <v>752</v>
      </c>
      <c r="BB75" s="17" t="s">
        <v>201</v>
      </c>
      <c r="BC75" s="17" t="s">
        <v>836</v>
      </c>
      <c r="BD75" s="191">
        <v>1</v>
      </c>
      <c r="BE75" s="191">
        <v>0</v>
      </c>
      <c r="BF75" s="17" t="s">
        <v>1093</v>
      </c>
      <c r="BG75" s="17" t="s">
        <v>150</v>
      </c>
      <c r="BH75" s="17" t="s">
        <v>168</v>
      </c>
      <c r="BI75" s="17" t="s">
        <v>169</v>
      </c>
      <c r="BJ75" s="17" t="s">
        <v>170</v>
      </c>
      <c r="BK75" s="17">
        <v>2</v>
      </c>
      <c r="BL75" s="191" t="s">
        <v>170</v>
      </c>
      <c r="BM75" s="17" t="s">
        <v>1094</v>
      </c>
      <c r="BN75" s="17" t="s">
        <v>1095</v>
      </c>
      <c r="BO75" s="191">
        <v>47</v>
      </c>
      <c r="BP75" s="191" t="s">
        <v>1164</v>
      </c>
      <c r="BQ75" s="191" t="s">
        <v>216</v>
      </c>
      <c r="BR75" s="191" t="s">
        <v>216</v>
      </c>
      <c r="BS75" s="191" t="s">
        <v>215</v>
      </c>
      <c r="BT75" s="191" t="s">
        <v>1081</v>
      </c>
      <c r="BU75" s="191" t="s">
        <v>546</v>
      </c>
      <c r="BV75" s="191"/>
      <c r="BW75" s="191" t="s">
        <v>216</v>
      </c>
      <c r="BX75" s="191" t="s">
        <v>216</v>
      </c>
      <c r="BY75" s="191" t="s">
        <v>216</v>
      </c>
      <c r="BZ75" s="302" cm="1">
        <f t="array" ref="BZ75">SUMPRODUCT(($B$4:$BY$4="Must have")*(B75:BY75&lt;&gt;"")*(UPPER(TRIM(B75:BY75))&lt;&gt;"TBD"))</f>
        <v>50</v>
      </c>
      <c r="CA75" s="302" cm="1">
        <f t="array" ref="CA75">SUMPRODUCT(($B$4:$BY$4="Must have")*((B75:BY75="")+(UPPER(TRIM(B75:BY75))="TBD")))</f>
        <v>2</v>
      </c>
      <c r="CB75" s="302" cm="1">
        <f t="array" ref="CB75">SUMPRODUCT(($B$4:$BY$4="Good to have")*(B75:BY75&lt;&gt;"")*(UPPER(TRIM(B75:BY75))&lt;&gt;"TBD"))</f>
        <v>21</v>
      </c>
      <c r="CC75" s="302" cm="1">
        <f t="array" ref="CC75">SUMPRODUCT(($B$4:$BY$4="Good to have")*((B75:BY75="")+(UPPER(TRIM(B75:BY75))="TBD")))</f>
        <v>2</v>
      </c>
      <c r="CD75" s="175" t="str">
        <f t="shared" si="2"/>
        <v>94.67%</v>
      </c>
      <c r="CF75" s="174" t="s">
        <v>845</v>
      </c>
    </row>
    <row r="76" spans="1:84" ht="18">
      <c r="A76" s="183" t="s">
        <v>553</v>
      </c>
      <c r="B76" s="190">
        <v>7955</v>
      </c>
      <c r="C76" s="191" t="s">
        <v>568</v>
      </c>
      <c r="D76" s="191" t="s">
        <v>569</v>
      </c>
      <c r="E76" s="191" t="s">
        <v>868</v>
      </c>
      <c r="F76" s="191" t="s">
        <v>179</v>
      </c>
      <c r="G76" s="192" t="s">
        <v>681</v>
      </c>
      <c r="H76" s="193" t="s">
        <v>1194</v>
      </c>
      <c r="I76" s="193" t="s">
        <v>546</v>
      </c>
      <c r="J76" s="191" t="s">
        <v>1032</v>
      </c>
      <c r="K76" s="193" t="s">
        <v>772</v>
      </c>
      <c r="L76" s="17" t="s">
        <v>920</v>
      </c>
      <c r="M76" s="17" t="s">
        <v>438</v>
      </c>
      <c r="N76" s="17" t="s">
        <v>150</v>
      </c>
      <c r="O76" s="17" t="s">
        <v>223</v>
      </c>
      <c r="P76" s="348">
        <v>46203</v>
      </c>
      <c r="Q76" s="191" t="s">
        <v>848</v>
      </c>
      <c r="R76" s="17" t="s">
        <v>1195</v>
      </c>
      <c r="S76" s="17" t="s">
        <v>188</v>
      </c>
      <c r="T76" s="17">
        <v>1</v>
      </c>
      <c r="U76" s="17" t="s">
        <v>189</v>
      </c>
      <c r="V76" s="191" t="s">
        <v>658</v>
      </c>
      <c r="W76" s="191" t="s">
        <v>850</v>
      </c>
      <c r="X76" s="193" t="s">
        <v>715</v>
      </c>
      <c r="Y76" s="17" t="s">
        <v>661</v>
      </c>
      <c r="Z76" s="17" t="s">
        <v>662</v>
      </c>
      <c r="AA76" s="17" t="s">
        <v>150</v>
      </c>
      <c r="AB76" s="191" t="s">
        <v>150</v>
      </c>
      <c r="AC76" s="17" t="s">
        <v>663</v>
      </c>
      <c r="AD76" s="17" t="s">
        <v>664</v>
      </c>
      <c r="AE76" s="191" t="s">
        <v>138</v>
      </c>
      <c r="AF76" s="17" t="s">
        <v>138</v>
      </c>
      <c r="AG76" s="17" t="s">
        <v>150</v>
      </c>
      <c r="AH76" s="193" t="s">
        <v>1162</v>
      </c>
      <c r="AI76" s="193">
        <v>1</v>
      </c>
      <c r="AJ76" s="193" t="s">
        <v>1038</v>
      </c>
      <c r="AK76" s="193" t="s">
        <v>1162</v>
      </c>
      <c r="AL76" s="193">
        <v>1</v>
      </c>
      <c r="AM76" s="193" t="s">
        <v>1038</v>
      </c>
      <c r="AN76" s="329" t="s">
        <v>863</v>
      </c>
      <c r="AO76" s="193" t="s">
        <v>1196</v>
      </c>
      <c r="AP76" s="193">
        <v>0</v>
      </c>
      <c r="AQ76" s="17" t="s">
        <v>902</v>
      </c>
      <c r="AR76" s="191" t="s">
        <v>1197</v>
      </c>
      <c r="AS76" s="191" t="s">
        <v>372</v>
      </c>
      <c r="AT76" s="17" t="s">
        <v>150</v>
      </c>
      <c r="AU76" s="193" t="s">
        <v>216</v>
      </c>
      <c r="AV76" s="17" t="s">
        <v>199</v>
      </c>
      <c r="AW76" s="17" t="s">
        <v>150</v>
      </c>
      <c r="AX76" s="193" t="s">
        <v>217</v>
      </c>
      <c r="AZ76" s="17" t="s">
        <v>216</v>
      </c>
      <c r="BA76" s="17" t="s">
        <v>752</v>
      </c>
      <c r="BB76" s="17" t="s">
        <v>201</v>
      </c>
      <c r="BC76" s="17" t="s">
        <v>836</v>
      </c>
      <c r="BD76" s="191">
        <v>3</v>
      </c>
      <c r="BE76" s="191">
        <v>0</v>
      </c>
      <c r="BF76" s="17" t="s">
        <v>1093</v>
      </c>
      <c r="BG76" s="17" t="s">
        <v>150</v>
      </c>
      <c r="BH76" s="17" t="s">
        <v>168</v>
      </c>
      <c r="BI76" s="17" t="s">
        <v>169</v>
      </c>
      <c r="BJ76" s="17" t="s">
        <v>170</v>
      </c>
      <c r="BK76" s="17">
        <v>2</v>
      </c>
      <c r="BL76" s="191" t="s">
        <v>170</v>
      </c>
      <c r="BM76" s="17" t="s">
        <v>1094</v>
      </c>
      <c r="BN76" s="17" t="s">
        <v>1095</v>
      </c>
      <c r="BO76" s="191">
        <v>47</v>
      </c>
      <c r="BP76" s="191" t="s">
        <v>216</v>
      </c>
      <c r="BQ76" s="191" t="s">
        <v>216</v>
      </c>
      <c r="BR76" s="191" t="s">
        <v>216</v>
      </c>
      <c r="BS76" s="191" t="s">
        <v>1198</v>
      </c>
      <c r="BT76" s="191" t="s">
        <v>1199</v>
      </c>
      <c r="BU76" s="191" t="s">
        <v>866</v>
      </c>
      <c r="BV76" s="191"/>
      <c r="BW76" s="191" t="s">
        <v>216</v>
      </c>
      <c r="BX76" s="191" t="s">
        <v>776</v>
      </c>
      <c r="BY76" s="191" t="s">
        <v>776</v>
      </c>
      <c r="BZ76" s="302" cm="1">
        <f t="array" ref="BZ76">SUMPRODUCT(($B$4:$BY$4="Must have")*(B76:BY76&lt;&gt;"")*(UPPER(TRIM(B76:BY76))&lt;&gt;"TBD"))</f>
        <v>51</v>
      </c>
      <c r="CA76" s="302" cm="1">
        <f t="array" ref="CA76">SUMPRODUCT(($B$4:$BY$4="Must have")*((B76:BY76="")+(UPPER(TRIM(B76:BY76))="TBD")))</f>
        <v>1</v>
      </c>
      <c r="CB76" s="302" cm="1">
        <f t="array" ref="CB76">SUMPRODUCT(($B$4:$BY$4="Good to have")*(B76:BY76&lt;&gt;"")*(UPPER(TRIM(B76:BY76))&lt;&gt;"TBD"))</f>
        <v>22</v>
      </c>
      <c r="CC76" s="302" cm="1">
        <f t="array" ref="CC76">SUMPRODUCT(($B$4:$BY$4="Good to have")*((B76:BY76="")+(UPPER(TRIM(B76:BY76))="TBD")))</f>
        <v>1</v>
      </c>
      <c r="CD76" s="175" t="str">
        <f t="shared" si="2"/>
        <v>97.33%</v>
      </c>
      <c r="CF76" s="174" t="s">
        <v>845</v>
      </c>
    </row>
    <row r="77" spans="1:84" ht="59.45" customHeight="1">
      <c r="A77" s="183" t="s">
        <v>558</v>
      </c>
      <c r="B77" s="190">
        <v>7956</v>
      </c>
      <c r="C77" s="191" t="s">
        <v>572</v>
      </c>
      <c r="D77" s="191" t="s">
        <v>573</v>
      </c>
      <c r="E77" s="191" t="s">
        <v>868</v>
      </c>
      <c r="F77" s="191" t="s">
        <v>179</v>
      </c>
      <c r="G77" s="192" t="s">
        <v>681</v>
      </c>
      <c r="H77" s="193" t="s">
        <v>905</v>
      </c>
      <c r="I77" s="193" t="s">
        <v>546</v>
      </c>
      <c r="J77" s="191" t="s">
        <v>1032</v>
      </c>
      <c r="K77" s="193" t="s">
        <v>772</v>
      </c>
      <c r="L77" s="17" t="s">
        <v>920</v>
      </c>
      <c r="M77" s="17" t="s">
        <v>1042</v>
      </c>
      <c r="N77" s="17" t="s">
        <v>150</v>
      </c>
      <c r="O77" s="17" t="s">
        <v>223</v>
      </c>
      <c r="P77" s="348">
        <v>46387</v>
      </c>
      <c r="Q77" s="191" t="s">
        <v>848</v>
      </c>
      <c r="R77" s="328" t="s">
        <v>1191</v>
      </c>
      <c r="S77" s="17" t="s">
        <v>188</v>
      </c>
      <c r="T77" s="17">
        <v>1</v>
      </c>
      <c r="U77" s="17" t="s">
        <v>1020</v>
      </c>
      <c r="V77" s="191" t="s">
        <v>658</v>
      </c>
      <c r="W77" s="191" t="s">
        <v>850</v>
      </c>
      <c r="X77" s="193" t="s">
        <v>715</v>
      </c>
      <c r="Y77" s="17" t="s">
        <v>661</v>
      </c>
      <c r="Z77" s="17" t="s">
        <v>662</v>
      </c>
      <c r="AA77" s="17" t="s">
        <v>150</v>
      </c>
      <c r="AB77" s="191" t="s">
        <v>150</v>
      </c>
      <c r="AC77" s="17" t="s">
        <v>663</v>
      </c>
      <c r="AD77" s="17" t="s">
        <v>664</v>
      </c>
      <c r="AE77" s="191" t="s">
        <v>150</v>
      </c>
      <c r="AF77" s="17" t="s">
        <v>150</v>
      </c>
      <c r="AG77" s="17" t="s">
        <v>150</v>
      </c>
      <c r="AH77" s="193" t="s">
        <v>1192</v>
      </c>
      <c r="AI77" s="193">
        <v>1</v>
      </c>
      <c r="AJ77" s="193" t="s">
        <v>1038</v>
      </c>
      <c r="AK77" s="193" t="s">
        <v>1091</v>
      </c>
      <c r="AL77" s="193">
        <v>0</v>
      </c>
      <c r="AM77" s="193" t="s">
        <v>1170</v>
      </c>
      <c r="AN77" s="329" t="s">
        <v>863</v>
      </c>
      <c r="AO77" s="193" t="s">
        <v>372</v>
      </c>
      <c r="AP77" s="193">
        <v>0</v>
      </c>
      <c r="AQ77" s="17" t="s">
        <v>156</v>
      </c>
      <c r="AR77" s="191" t="s">
        <v>1200</v>
      </c>
      <c r="AS77" s="191" t="s">
        <v>216</v>
      </c>
      <c r="AT77" s="17" t="s">
        <v>150</v>
      </c>
      <c r="AU77" s="193" t="s">
        <v>216</v>
      </c>
      <c r="AV77" s="17" t="s">
        <v>199</v>
      </c>
      <c r="AW77" s="17" t="s">
        <v>150</v>
      </c>
      <c r="AX77" s="193" t="s">
        <v>216</v>
      </c>
      <c r="AY77" s="17"/>
      <c r="AZ77" s="17" t="s">
        <v>216</v>
      </c>
      <c r="BA77" s="17" t="s">
        <v>752</v>
      </c>
      <c r="BB77" s="17" t="s">
        <v>201</v>
      </c>
      <c r="BC77" s="17" t="s">
        <v>836</v>
      </c>
      <c r="BD77" s="191">
        <v>1</v>
      </c>
      <c r="BE77" s="191">
        <v>0</v>
      </c>
      <c r="BF77" s="17" t="s">
        <v>1093</v>
      </c>
      <c r="BG77" s="17" t="s">
        <v>150</v>
      </c>
      <c r="BH77" s="17" t="s">
        <v>168</v>
      </c>
      <c r="BI77" s="17" t="s">
        <v>169</v>
      </c>
      <c r="BJ77" s="17" t="s">
        <v>170</v>
      </c>
      <c r="BK77" s="17">
        <v>2</v>
      </c>
      <c r="BL77" s="191" t="s">
        <v>170</v>
      </c>
      <c r="BM77" s="17" t="s">
        <v>1094</v>
      </c>
      <c r="BN77" s="17" t="s">
        <v>1095</v>
      </c>
      <c r="BO77" s="191">
        <v>47</v>
      </c>
      <c r="BP77" s="191" t="s">
        <v>1164</v>
      </c>
      <c r="BQ77" s="191" t="s">
        <v>216</v>
      </c>
      <c r="BR77" s="191" t="s">
        <v>216</v>
      </c>
      <c r="BS77" s="191" t="s">
        <v>215</v>
      </c>
      <c r="BT77" s="191" t="s">
        <v>1081</v>
      </c>
      <c r="BU77" s="191" t="s">
        <v>546</v>
      </c>
      <c r="BV77" s="191"/>
      <c r="BW77" s="191" t="s">
        <v>216</v>
      </c>
      <c r="BX77" s="191" t="s">
        <v>216</v>
      </c>
      <c r="BY77" s="191" t="s">
        <v>216</v>
      </c>
      <c r="BZ77" s="302" cm="1">
        <f t="array" ref="BZ77">SUMPRODUCT(($B$4:$BY$4="Must have")*(B77:BY77&lt;&gt;"")*(UPPER(TRIM(B77:BY77))&lt;&gt;"TBD"))</f>
        <v>51</v>
      </c>
      <c r="CA77" s="302" cm="1">
        <f t="array" ref="CA77">SUMPRODUCT(($B$4:$BY$4="Must have")*((B77:BY77="")+(UPPER(TRIM(B77:BY77))="TBD")))</f>
        <v>1</v>
      </c>
      <c r="CB77" s="302" cm="1">
        <f t="array" ref="CB77">SUMPRODUCT(($B$4:$BY$4="Good to have")*(B77:BY77&lt;&gt;"")*(UPPER(TRIM(B77:BY77))&lt;&gt;"TBD"))</f>
        <v>21</v>
      </c>
      <c r="CC77" s="302" cm="1">
        <f t="array" ref="CC77">SUMPRODUCT(($B$4:$BY$4="Good to have")*((B77:BY77="")+(UPPER(TRIM(B77:BY77))="TBD")))</f>
        <v>2</v>
      </c>
      <c r="CD77" s="175" t="str">
        <f t="shared" si="2"/>
        <v>96%</v>
      </c>
      <c r="CF77" s="174" t="s">
        <v>845</v>
      </c>
    </row>
    <row r="78" spans="1:84" ht="18.600000000000001" thickBot="1">
      <c r="A78" s="183" t="s">
        <v>562</v>
      </c>
      <c r="B78" s="190">
        <v>7957</v>
      </c>
      <c r="C78" s="191" t="s">
        <v>576</v>
      </c>
      <c r="D78" s="191" t="s">
        <v>577</v>
      </c>
      <c r="E78" s="191" t="s">
        <v>868</v>
      </c>
      <c r="F78" s="191" t="s">
        <v>179</v>
      </c>
      <c r="G78" s="192" t="s">
        <v>681</v>
      </c>
      <c r="H78" s="193" t="s">
        <v>905</v>
      </c>
      <c r="I78" s="320" t="s">
        <v>1126</v>
      </c>
      <c r="J78" s="191" t="s">
        <v>1032</v>
      </c>
      <c r="K78" s="193" t="s">
        <v>772</v>
      </c>
      <c r="L78" s="17" t="s">
        <v>920</v>
      </c>
      <c r="M78" s="17" t="s">
        <v>438</v>
      </c>
      <c r="N78" s="17" t="s">
        <v>1201</v>
      </c>
      <c r="O78" s="17" t="s">
        <v>212</v>
      </c>
      <c r="P78" s="348">
        <v>46507</v>
      </c>
      <c r="Q78" s="191" t="s">
        <v>848</v>
      </c>
      <c r="R78" s="17" t="s">
        <v>1101</v>
      </c>
      <c r="S78" s="17" t="s">
        <v>663</v>
      </c>
      <c r="T78" s="17">
        <v>1</v>
      </c>
      <c r="U78" s="17" t="s">
        <v>189</v>
      </c>
      <c r="V78" s="191" t="s">
        <v>849</v>
      </c>
      <c r="W78" s="191" t="s">
        <v>850</v>
      </c>
      <c r="X78" s="193" t="s">
        <v>715</v>
      </c>
      <c r="Y78" s="17" t="s">
        <v>661</v>
      </c>
      <c r="Z78" s="17" t="s">
        <v>915</v>
      </c>
      <c r="AA78" s="17" t="s">
        <v>150</v>
      </c>
      <c r="AB78" s="191" t="s">
        <v>150</v>
      </c>
      <c r="AC78" s="17" t="s">
        <v>663</v>
      </c>
      <c r="AD78" s="17" t="s">
        <v>191</v>
      </c>
      <c r="AE78" s="191" t="s">
        <v>150</v>
      </c>
      <c r="AF78" s="17" t="s">
        <v>150</v>
      </c>
      <c r="AG78" s="17" t="s">
        <v>150</v>
      </c>
      <c r="AH78" s="193" t="s">
        <v>173</v>
      </c>
      <c r="AI78" s="193">
        <v>0</v>
      </c>
      <c r="AJ78" s="193" t="s">
        <v>173</v>
      </c>
      <c r="AK78" s="193" t="s">
        <v>1067</v>
      </c>
      <c r="AL78" s="193">
        <v>1</v>
      </c>
      <c r="AM78" s="193" t="s">
        <v>1038</v>
      </c>
      <c r="AN78" s="193" t="s">
        <v>863</v>
      </c>
      <c r="AO78" s="193" t="s">
        <v>1202</v>
      </c>
      <c r="AP78" s="193">
        <v>0</v>
      </c>
      <c r="AQ78" s="193" t="s">
        <v>173</v>
      </c>
      <c r="AR78" s="191" t="s">
        <v>216</v>
      </c>
      <c r="AS78" s="191" t="s">
        <v>216</v>
      </c>
      <c r="AT78" s="17" t="s">
        <v>150</v>
      </c>
      <c r="AU78" s="193" t="s">
        <v>216</v>
      </c>
      <c r="AV78" s="193" t="s">
        <v>216</v>
      </c>
      <c r="AW78" s="17" t="s">
        <v>150</v>
      </c>
      <c r="AX78" s="193" t="s">
        <v>216</v>
      </c>
      <c r="AY78" s="17" t="s">
        <v>173</v>
      </c>
      <c r="AZ78" s="17" t="s">
        <v>173</v>
      </c>
      <c r="BA78" s="17" t="s">
        <v>752</v>
      </c>
      <c r="BB78" s="17" t="s">
        <v>674</v>
      </c>
      <c r="BC78" s="17" t="s">
        <v>836</v>
      </c>
      <c r="BD78" s="191">
        <v>0</v>
      </c>
      <c r="BE78" s="191">
        <v>0</v>
      </c>
      <c r="BF78" s="17" t="s">
        <v>837</v>
      </c>
      <c r="BG78" s="17" t="s">
        <v>150</v>
      </c>
      <c r="BH78" s="17" t="s">
        <v>168</v>
      </c>
      <c r="BI78" s="17" t="s">
        <v>838</v>
      </c>
      <c r="BJ78" s="17" t="s">
        <v>170</v>
      </c>
      <c r="BK78" s="17">
        <v>1</v>
      </c>
      <c r="BL78" s="191" t="s">
        <v>170</v>
      </c>
      <c r="BM78" s="17">
        <v>5</v>
      </c>
      <c r="BN78" s="17">
        <v>1</v>
      </c>
      <c r="BO78" s="191">
        <v>20</v>
      </c>
      <c r="BP78" s="191" t="s">
        <v>173</v>
      </c>
      <c r="BQ78" s="191" t="s">
        <v>173</v>
      </c>
      <c r="BR78" s="191" t="s">
        <v>173</v>
      </c>
      <c r="BS78" s="191"/>
      <c r="BT78" s="191" t="s">
        <v>1203</v>
      </c>
      <c r="BU78" s="191" t="s">
        <v>546</v>
      </c>
      <c r="BV78" s="191"/>
      <c r="BW78" s="191" t="s">
        <v>216</v>
      </c>
      <c r="BX78" s="191" t="s">
        <v>216</v>
      </c>
      <c r="BY78" s="191" t="s">
        <v>216</v>
      </c>
      <c r="BZ78" s="302" cm="1">
        <f t="array" ref="BZ78">SUMPRODUCT(($B$4:$BY$4="Must have")*(B78:BY78&lt;&gt;"")*(UPPER(TRIM(B78:BY78))&lt;&gt;"TBD"))</f>
        <v>52</v>
      </c>
      <c r="CA78" s="302" cm="1">
        <f t="array" ref="CA78">SUMPRODUCT(($B$4:$BY$4="Must have")*((B78:BY78="")+(UPPER(TRIM(B78:BY78))="TBD")))</f>
        <v>0</v>
      </c>
      <c r="CB78" s="302" cm="1">
        <f t="array" ref="CB78">SUMPRODUCT(($B$4:$BY$4="Good to have")*(B78:BY78&lt;&gt;"")*(UPPER(TRIM(B78:BY78))&lt;&gt;"TBD"))</f>
        <v>21</v>
      </c>
      <c r="CC78" s="302" cm="1">
        <f t="array" ref="CC78">SUMPRODUCT(($B$4:$BY$4="Good to have")*((B78:BY78="")+(UPPER(TRIM(B78:BY78))="TBD")))</f>
        <v>2</v>
      </c>
      <c r="CD78" s="175" t="str">
        <f t="shared" si="2"/>
        <v>97.33%</v>
      </c>
      <c r="CF78" s="174" t="s">
        <v>845</v>
      </c>
    </row>
    <row r="79" spans="1:84" ht="18">
      <c r="A79" s="183" t="s">
        <v>566</v>
      </c>
      <c r="B79" s="190">
        <v>8039</v>
      </c>
      <c r="C79" s="191" t="s">
        <v>584</v>
      </c>
      <c r="D79" s="191" t="s">
        <v>585</v>
      </c>
      <c r="E79" s="191" t="s">
        <v>868</v>
      </c>
      <c r="F79" s="191" t="s">
        <v>179</v>
      </c>
      <c r="G79" s="192" t="s">
        <v>681</v>
      </c>
      <c r="H79" s="193" t="s">
        <v>905</v>
      </c>
      <c r="I79" s="193" t="s">
        <v>546</v>
      </c>
      <c r="J79" s="191" t="s">
        <v>1032</v>
      </c>
      <c r="K79" s="193" t="s">
        <v>772</v>
      </c>
      <c r="L79" s="17" t="s">
        <v>920</v>
      </c>
      <c r="M79" s="17" t="s">
        <v>438</v>
      </c>
      <c r="N79" s="17" t="s">
        <v>150</v>
      </c>
      <c r="O79" s="17" t="s">
        <v>223</v>
      </c>
      <c r="P79" s="348">
        <v>46203</v>
      </c>
      <c r="Q79" s="191" t="s">
        <v>848</v>
      </c>
      <c r="R79" s="330" t="s">
        <v>1101</v>
      </c>
      <c r="S79" s="17" t="s">
        <v>188</v>
      </c>
      <c r="T79" s="17">
        <v>1</v>
      </c>
      <c r="U79" s="17" t="s">
        <v>189</v>
      </c>
      <c r="V79" s="228" t="s">
        <v>658</v>
      </c>
      <c r="W79" s="191" t="s">
        <v>850</v>
      </c>
      <c r="X79" s="193" t="s">
        <v>715</v>
      </c>
      <c r="Y79" s="17" t="s">
        <v>661</v>
      </c>
      <c r="Z79" s="17" t="s">
        <v>662</v>
      </c>
      <c r="AA79" s="17" t="s">
        <v>150</v>
      </c>
      <c r="AB79" s="191" t="s">
        <v>150</v>
      </c>
      <c r="AC79" s="17" t="s">
        <v>663</v>
      </c>
      <c r="AD79" s="17" t="s">
        <v>191</v>
      </c>
      <c r="AE79" s="191" t="s">
        <v>150</v>
      </c>
      <c r="AF79" s="17" t="s">
        <v>150</v>
      </c>
      <c r="AG79" s="17" t="s">
        <v>150</v>
      </c>
      <c r="AH79" s="193" t="s">
        <v>1091</v>
      </c>
      <c r="AI79" s="193">
        <v>0</v>
      </c>
      <c r="AJ79" s="193"/>
      <c r="AK79" s="193" t="s">
        <v>1204</v>
      </c>
      <c r="AL79" s="193">
        <v>3</v>
      </c>
      <c r="AM79" s="193" t="s">
        <v>1205</v>
      </c>
      <c r="AN79" s="193" t="s">
        <v>863</v>
      </c>
      <c r="AO79" s="193" t="s">
        <v>1206</v>
      </c>
      <c r="AP79" s="193">
        <v>0</v>
      </c>
      <c r="AQ79" s="17"/>
      <c r="AR79" s="17" t="s">
        <v>1207</v>
      </c>
      <c r="AS79" s="191" t="s">
        <v>216</v>
      </c>
      <c r="AT79" s="17" t="s">
        <v>150</v>
      </c>
      <c r="AU79" s="193" t="s">
        <v>216</v>
      </c>
      <c r="AV79" s="17" t="s">
        <v>199</v>
      </c>
      <c r="AW79" s="17" t="s">
        <v>150</v>
      </c>
      <c r="AX79" s="193" t="s">
        <v>216</v>
      </c>
      <c r="AY79" s="17"/>
      <c r="AZ79" s="17" t="s">
        <v>216</v>
      </c>
      <c r="BA79" s="17" t="s">
        <v>752</v>
      </c>
      <c r="BB79" s="17" t="s">
        <v>201</v>
      </c>
      <c r="BC79" s="17" t="s">
        <v>836</v>
      </c>
      <c r="BD79" s="191">
        <v>1</v>
      </c>
      <c r="BE79" s="191">
        <v>0</v>
      </c>
      <c r="BF79" s="17" t="s">
        <v>1093</v>
      </c>
      <c r="BG79" s="17" t="s">
        <v>150</v>
      </c>
      <c r="BH79" s="17" t="s">
        <v>168</v>
      </c>
      <c r="BI79" s="17" t="s">
        <v>838</v>
      </c>
      <c r="BJ79" s="17" t="s">
        <v>170</v>
      </c>
      <c r="BK79" s="17">
        <v>2</v>
      </c>
      <c r="BL79" s="191" t="s">
        <v>170</v>
      </c>
      <c r="BM79" s="17" t="s">
        <v>1208</v>
      </c>
      <c r="BN79" s="17" t="s">
        <v>1095</v>
      </c>
      <c r="BO79" s="191">
        <v>47</v>
      </c>
      <c r="BP79" s="191" t="s">
        <v>1164</v>
      </c>
      <c r="BQ79" s="191" t="s">
        <v>216</v>
      </c>
      <c r="BR79" s="191" t="s">
        <v>216</v>
      </c>
      <c r="BS79" s="191" t="s">
        <v>215</v>
      </c>
      <c r="BT79" s="191" t="s">
        <v>584</v>
      </c>
      <c r="BU79" s="191" t="s">
        <v>546</v>
      </c>
      <c r="BV79" s="191"/>
      <c r="BW79" s="191" t="s">
        <v>216</v>
      </c>
      <c r="BX79" s="191" t="s">
        <v>216</v>
      </c>
      <c r="BY79" s="191" t="s">
        <v>216</v>
      </c>
      <c r="BZ79" s="302" cm="1">
        <f t="array" ref="BZ79">SUMPRODUCT(($B$4:$BY$4="Must have")*(B79:BY79&lt;&gt;"")*(UPPER(TRIM(B79:BY79))&lt;&gt;"TBD"))</f>
        <v>49</v>
      </c>
      <c r="CA79" s="302" cm="1">
        <f t="array" ref="CA79">SUMPRODUCT(($B$4:$BY$4="Must have")*((B79:BY79="")+(UPPER(TRIM(B79:BY79))="TBD")))</f>
        <v>3</v>
      </c>
      <c r="CB79" s="302" cm="1">
        <f t="array" ref="CB79">SUMPRODUCT(($B$4:$BY$4="Good to have")*(B79:BY79&lt;&gt;"")*(UPPER(TRIM(B79:BY79))&lt;&gt;"TBD"))</f>
        <v>21</v>
      </c>
      <c r="CC79" s="302" cm="1">
        <f t="array" ref="CC79">SUMPRODUCT(($B$4:$BY$4="Good to have")*((B79:BY79="")+(UPPER(TRIM(B79:BY79))="TBD")))</f>
        <v>2</v>
      </c>
      <c r="CD79" s="175" t="str">
        <f t="shared" si="2"/>
        <v>93.33%</v>
      </c>
      <c r="CF79" s="174" t="s">
        <v>845</v>
      </c>
    </row>
    <row r="80" spans="1:84" ht="18">
      <c r="A80" s="183" t="s">
        <v>570</v>
      </c>
      <c r="B80" s="190">
        <v>9999</v>
      </c>
      <c r="C80" s="191" t="s">
        <v>588</v>
      </c>
      <c r="D80" s="191" t="s">
        <v>589</v>
      </c>
      <c r="E80" s="329" t="s">
        <v>588</v>
      </c>
      <c r="F80" s="191" t="s">
        <v>132</v>
      </c>
      <c r="G80" s="192" t="s">
        <v>681</v>
      </c>
      <c r="H80" s="193" t="s">
        <v>1209</v>
      </c>
      <c r="I80" s="193" t="s">
        <v>682</v>
      </c>
      <c r="J80" s="191" t="s">
        <v>654</v>
      </c>
      <c r="K80" s="193" t="s">
        <v>182</v>
      </c>
      <c r="L80" s="17" t="s">
        <v>655</v>
      </c>
      <c r="M80" s="17" t="s">
        <v>221</v>
      </c>
      <c r="N80" s="17" t="s">
        <v>138</v>
      </c>
      <c r="O80" s="17" t="s">
        <v>223</v>
      </c>
      <c r="P80" s="348">
        <v>46387</v>
      </c>
      <c r="Q80" s="217" t="s">
        <v>711</v>
      </c>
      <c r="R80" s="309" t="s">
        <v>1210</v>
      </c>
      <c r="S80" s="226" t="s">
        <v>187</v>
      </c>
      <c r="T80" s="17" t="s">
        <v>663</v>
      </c>
      <c r="U80" s="217" t="s">
        <v>684</v>
      </c>
      <c r="V80" s="191" t="s">
        <v>658</v>
      </c>
      <c r="W80" s="191" t="s">
        <v>216</v>
      </c>
      <c r="X80" s="193" t="s">
        <v>715</v>
      </c>
      <c r="Y80" s="17" t="s">
        <v>661</v>
      </c>
      <c r="Z80" s="17" t="s">
        <v>662</v>
      </c>
      <c r="AA80" s="17" t="s">
        <v>138</v>
      </c>
      <c r="AB80" s="191" t="s">
        <v>138</v>
      </c>
      <c r="AC80" s="17" t="s">
        <v>187</v>
      </c>
      <c r="AD80" s="17" t="s">
        <v>664</v>
      </c>
      <c r="AE80" s="191" t="s">
        <v>138</v>
      </c>
      <c r="AF80" s="17" t="s">
        <v>150</v>
      </c>
      <c r="AG80" s="17" t="s">
        <v>150</v>
      </c>
      <c r="AH80" s="232" t="s">
        <v>1211</v>
      </c>
      <c r="AI80" s="197">
        <v>10</v>
      </c>
      <c r="AJ80" s="331" t="s">
        <v>738</v>
      </c>
      <c r="AK80" s="236" t="s">
        <v>1211</v>
      </c>
      <c r="AL80" s="197">
        <v>10</v>
      </c>
      <c r="AM80" s="197" t="s">
        <v>738</v>
      </c>
      <c r="AN80" s="329" t="s">
        <v>1212</v>
      </c>
      <c r="AO80" s="197" t="s">
        <v>669</v>
      </c>
      <c r="AP80" t="s">
        <v>810</v>
      </c>
      <c r="AQ80" s="17" t="s">
        <v>156</v>
      </c>
      <c r="AR80" s="17" t="s">
        <v>1213</v>
      </c>
      <c r="AS80" s="191" t="s">
        <v>588</v>
      </c>
      <c r="AT80" s="17" t="s">
        <v>150</v>
      </c>
      <c r="AU80" s="193" t="s">
        <v>225</v>
      </c>
      <c r="AV80" s="17" t="s">
        <v>199</v>
      </c>
      <c r="AW80" s="196" t="s">
        <v>216</v>
      </c>
      <c r="AX80" s="196" t="s">
        <v>215</v>
      </c>
      <c r="AY80" s="196" t="s">
        <v>215</v>
      </c>
      <c r="AZ80" s="196" t="s">
        <v>215</v>
      </c>
      <c r="BA80" s="304" t="s">
        <v>694</v>
      </c>
      <c r="BB80" s="17" t="s">
        <v>674</v>
      </c>
      <c r="BC80" s="17" t="s">
        <v>173</v>
      </c>
      <c r="BD80" s="17" t="s">
        <v>166</v>
      </c>
      <c r="BE80" s="17" t="s">
        <v>166</v>
      </c>
      <c r="BF80" s="17" t="s">
        <v>216</v>
      </c>
      <c r="BG80" s="17" t="s">
        <v>150</v>
      </c>
      <c r="BH80" s="17" t="s">
        <v>168</v>
      </c>
      <c r="BI80" s="17" t="s">
        <v>204</v>
      </c>
      <c r="BJ80" s="17" t="s">
        <v>171</v>
      </c>
      <c r="BK80" s="17">
        <v>3</v>
      </c>
      <c r="BL80" s="195" t="s">
        <v>170</v>
      </c>
      <c r="BM80" s="17" t="s">
        <v>173</v>
      </c>
      <c r="BN80" s="17" t="s">
        <v>173</v>
      </c>
      <c r="BO80" s="17" t="s">
        <v>173</v>
      </c>
      <c r="BP80" s="309" t="s">
        <v>722</v>
      </c>
      <c r="BQ80" s="191" t="s">
        <v>138</v>
      </c>
      <c r="BR80" s="17" t="s">
        <v>138</v>
      </c>
      <c r="BS80" s="191" t="s">
        <v>678</v>
      </c>
      <c r="BT80" s="191" t="s">
        <v>588</v>
      </c>
      <c r="BU80" s="191" t="s">
        <v>696</v>
      </c>
      <c r="BV80" s="191"/>
      <c r="BW80" s="191" t="s">
        <v>791</v>
      </c>
      <c r="BX80" s="191" t="s">
        <v>699</v>
      </c>
      <c r="BY80" s="191" t="s">
        <v>700</v>
      </c>
      <c r="BZ80" s="302" cm="1">
        <f t="array" ref="BZ80">SUMPRODUCT(($B$4:$BY$4="Must have")*(B80:BY80&lt;&gt;"")*(UPPER(TRIM(B80:BY80))&lt;&gt;"TBD"))</f>
        <v>49</v>
      </c>
      <c r="CA80" s="302" cm="1">
        <f t="array" ref="CA80">SUMPRODUCT(($B$4:$BY$4="Must have")*((B80:BY80="")+(UPPER(TRIM(B80:BY80))="TBD")))</f>
        <v>3</v>
      </c>
      <c r="CB80" s="302" cm="1">
        <f t="array" ref="CB80">SUMPRODUCT(($B$4:$BY$4="Good to have")*(B80:BY80&lt;&gt;"")*(UPPER(TRIM(B80:BY80))&lt;&gt;"TBD"))</f>
        <v>22</v>
      </c>
      <c r="CC80" s="302" cm="1">
        <f t="array" ref="CC80">SUMPRODUCT(($B$4:$BY$4="Good to have")*((B80:BY80="")+(UPPER(TRIM(B80:BY80))="TBD")))</f>
        <v>1</v>
      </c>
      <c r="CD80" s="175" t="str">
        <f t="shared" si="2"/>
        <v>94.67%</v>
      </c>
      <c r="CF80" s="174" t="s">
        <v>701</v>
      </c>
    </row>
    <row r="81" spans="18:82" ht="18">
      <c r="R81" s="174"/>
      <c r="Z81" s="324"/>
      <c r="BM81" s="188"/>
      <c r="BN81" s="188"/>
      <c r="BZ81" s="300">
        <f>SUM(BZ7:BZ80)</f>
        <v>3724</v>
      </c>
      <c r="CA81" s="300">
        <f>SUM(CA7:CA80)</f>
        <v>124</v>
      </c>
      <c r="CB81" s="300">
        <f>SUM(CB7:CB80)</f>
        <v>1564</v>
      </c>
      <c r="CC81" s="300">
        <f>SUM(CC7:CC80)</f>
        <v>138</v>
      </c>
      <c r="CD81" s="175" t="str">
        <f>ROUND(((BZ81+CB81)/(BZ81+CA81+CB81+CC81)) * 100, 2) &amp; "%"</f>
        <v>95.28%</v>
      </c>
    </row>
  </sheetData>
  <phoneticPr fontId="14" type="noConversion"/>
  <dataValidations count="2">
    <dataValidation type="list" allowBlank="1" showInputMessage="1" showErrorMessage="1" sqref="BJ27:BJ80 BJ22:BJ25 BJ7:BJ20" xr:uid="{8AFCFCA0-943F-41A7-9048-1A692A5CB5B7}">
      <formula1>"Shared, Dedicated"</formula1>
    </dataValidation>
    <dataValidation type="list" allowBlank="1" showInputMessage="1" showErrorMessage="1" sqref="AD27:AD80 AD7:AD25" xr:uid="{650055E5-CDB7-4128-8A94-15C9BDF6DC85}">
      <formula1>"Single, Part of Group"</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17DE1D80-292F-4765-AFB2-32E98D9A6D20}">
          <x14:formula1>
            <xm:f>'Reference - to hide'!$Y$3:$Y$5</xm:f>
          </x14:formula1>
          <xm:sqref>AS8:AS12</xm:sqref>
        </x14:dataValidation>
        <x14:dataValidation type="list" allowBlank="1" showInputMessage="1" showErrorMessage="1" xr:uid="{42273080-793D-4855-8B0F-513A1C993FF5}">
          <x14:formula1>
            <xm:f>'Reference - to hide'!$T$3:$T$7</xm:f>
          </x14:formula1>
          <xm:sqref>T27:T67 T69:T79 AS8:AS13</xm:sqref>
        </x14:dataValidation>
        <x14:dataValidation type="list" allowBlank="1" showInputMessage="1" showErrorMessage="1" xr:uid="{FB9A8B59-DA57-4254-9ABD-3B566837464F}">
          <x14:formula1>
            <xm:f>'Reference - to hide'!$G$3:$G$5</xm:f>
          </x14:formula1>
          <xm:sqref>AA27:AA80 AB12:AB14 BR14:BR20 BR7:BR11 BR80 BR22:BR25 AA7:AA25 BG7:BG25 BG27:BG80</xm:sqref>
        </x14:dataValidation>
        <x14:dataValidation type="list" allowBlank="1" showInputMessage="1" showErrorMessage="1" xr:uid="{FEC351CE-97F2-4F9B-9B7A-FF55E6B1153B}">
          <x14:formula1>
            <xm:f>'Reference - to hide'!$I$3:$I$7</xm:f>
          </x14:formula1>
          <xm:sqref>AS8:AS13</xm:sqref>
        </x14:dataValidation>
        <x14:dataValidation type="list" allowBlank="1" showInputMessage="1" showErrorMessage="1" xr:uid="{915AE4BA-0687-4499-9B1E-4FF94555B641}">
          <x14:formula1>
            <xm:f>'Reference - to hide'!$J$3:$J$7</xm:f>
          </x14:formula1>
          <xm:sqref>Z23:Z25 Z27:Z80 Z7:Z20</xm:sqref>
        </x14:dataValidation>
        <x14:dataValidation type="list" allowBlank="1" showInputMessage="1" showErrorMessage="1" xr:uid="{D9C4C419-538D-44D6-A497-22D4F1BFBDD3}">
          <x14:formula1>
            <xm:f>'Reference - to hide'!$L$3:$L$7</xm:f>
          </x14:formula1>
          <xm:sqref>BD80:BE80 BD23:BE23 BD7:BE15 BD17:BE18</xm:sqref>
        </x14:dataValidation>
        <x14:dataValidation type="list" allowBlank="1" showInputMessage="1" showErrorMessage="1" xr:uid="{1BD7F37F-7EFE-4C24-892A-9475F2285693}">
          <x14:formula1>
            <xm:f>'Reference - to hide'!$Y$3:$Y$4</xm:f>
          </x14:formula1>
          <xm:sqref>AF27:AG80 AT7:AT11 AT27:AT80 AF22:AG25 AF7:AG20 AT14:AT25</xm:sqref>
        </x14:dataValidation>
        <x14:dataValidation type="list" allowBlank="1" showInputMessage="1" showErrorMessage="1" xr:uid="{9023B9F1-D0A3-459F-963A-D7F40147B968}">
          <x14:formula1>
            <xm:f>'Reference - to hide'!$AB$3:$AB$7</xm:f>
          </x14:formula1>
          <xm:sqref>T80 S27:S80 S7:T25</xm:sqref>
        </x14:dataValidation>
        <x14:dataValidation type="list" allowBlank="1" showInputMessage="1" showErrorMessage="1" xr:uid="{DBF0A11B-3DE4-4FE7-B949-52EA9B407FF1}">
          <x14:formula1>
            <xm:f>'Reference - to hide'!$F$3:$F$5</xm:f>
          </x14:formula1>
          <xm:sqref>K7:K80</xm:sqref>
        </x14:dataValidation>
        <x14:dataValidation type="list" allowBlank="1" showInputMessage="1" showErrorMessage="1" xr:uid="{FF2F8E36-92AA-4A69-9BB7-E39A811E140B}">
          <x14:formula1>
            <xm:f>'Reference - to hide'!$N$3:$N$6</xm:f>
          </x14:formula1>
          <xm:sqref>BI27:BI80 BI7:BI25</xm:sqref>
        </x14:dataValidation>
        <x14:dataValidation type="list" allowBlank="1" showInputMessage="1" showErrorMessage="1" xr:uid="{3E429E1B-BB91-4ACD-96BF-94D7AE768EC0}">
          <x14:formula1>
            <xm:f>'Reference - to hide'!$AA$3:$AA$7</xm:f>
          </x14:formula1>
          <xm:sqref>Y27:Y80 Y7:Y25</xm:sqref>
        </x14:dataValidation>
        <x14:dataValidation type="list" allowBlank="1" showInputMessage="1" showErrorMessage="1" xr:uid="{7EFE4154-8F42-45B6-B470-F8C73EC5500D}">
          <x14:formula1>
            <xm:f>'Reference - to hide'!$AB$3:$AB$6</xm:f>
          </x14:formula1>
          <xm:sqref>AC7:AC25 AC27:AC80</xm:sqref>
        </x14:dataValidation>
        <x14:dataValidation type="list" allowBlank="1" showInputMessage="1" showErrorMessage="1" xr:uid="{DBC3B24A-21E3-47AA-9327-0F913F1D6A90}">
          <x14:formula1>
            <xm:f>'Reference - to hide'!$AC$3:$AC$7</xm:f>
          </x14:formula1>
          <xm:sqref>AQ27:AQ62 AQ79:AQ80 AQ75:AQ77 AQ68:AQ73 AQ64:AQ65 AR27:AR80 AQ7:AQ25 AR19:AR25 AR7:AR16</xm:sqref>
        </x14:dataValidation>
        <x14:dataValidation type="list" allowBlank="1" showInputMessage="1" showErrorMessage="1" xr:uid="{BDD3DD6E-82CD-4F9C-A6F1-7B6EE349041A}">
          <x14:formula1>
            <xm:f>'Reference - to hide'!$W$3:$W$6</xm:f>
          </x14:formula1>
          <xm:sqref>AV11 AV7 AV9 AV79:AV80 AV34:AV55 AV27:AV32 AV64:AV65 AV68:AV73 AV75:AV77 AV14:AV25 AV58 AV60:AV62</xm:sqref>
        </x14:dataValidation>
        <x14:dataValidation type="list" allowBlank="1" showInputMessage="1" showErrorMessage="1" xr:uid="{086210D6-F52C-4901-9267-87E5BCD933E1}">
          <x14:formula1>
            <xm:f>'Reference - to hide'!$M$3:$M$6</xm:f>
          </x14:formula1>
          <xm:sqref>BH27:BH80 BH7:BH25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FCFF-9AB4-4E28-8D73-D28908AA40F9}">
  <dimension ref="A1:BQ80"/>
  <sheetViews>
    <sheetView workbookViewId="0">
      <selection activeCell="B5" sqref="B5"/>
    </sheetView>
  </sheetViews>
  <sheetFormatPr defaultRowHeight="15.6" customHeight="1"/>
  <cols>
    <col min="1" max="1" width="9.42578125" bestFit="1" customWidth="1"/>
  </cols>
  <sheetData>
    <row r="1" spans="1:69" ht="84">
      <c r="A1" s="44" t="s">
        <v>1214</v>
      </c>
      <c r="B1" s="44" t="s">
        <v>13</v>
      </c>
      <c r="C1" s="45" t="s">
        <v>1215</v>
      </c>
      <c r="D1" s="45" t="s">
        <v>1216</v>
      </c>
      <c r="E1" s="45" t="s">
        <v>612</v>
      </c>
      <c r="F1" s="45" t="s">
        <v>613</v>
      </c>
      <c r="G1" s="45" t="s">
        <v>614</v>
      </c>
      <c r="H1" s="44" t="s">
        <v>1217</v>
      </c>
      <c r="I1" s="44" t="s">
        <v>1218</v>
      </c>
      <c r="J1" s="44" t="s">
        <v>1219</v>
      </c>
      <c r="K1" s="44" t="s">
        <v>1220</v>
      </c>
      <c r="L1" s="126" t="s">
        <v>1221</v>
      </c>
      <c r="M1" s="127" t="s">
        <v>1222</v>
      </c>
      <c r="N1" s="127" t="s">
        <v>21</v>
      </c>
      <c r="O1" s="128" t="s">
        <v>1223</v>
      </c>
      <c r="P1" s="129" t="s">
        <v>1224</v>
      </c>
      <c r="Q1" s="130" t="s">
        <v>1225</v>
      </c>
      <c r="R1" s="129" t="s">
        <v>1226</v>
      </c>
      <c r="S1" s="131" t="s">
        <v>1227</v>
      </c>
      <c r="T1" s="129" t="s">
        <v>1228</v>
      </c>
      <c r="U1" s="129" t="s">
        <v>1229</v>
      </c>
      <c r="V1" s="129" t="s">
        <v>1230</v>
      </c>
      <c r="W1" s="132" t="s">
        <v>1231</v>
      </c>
      <c r="X1" s="132" t="s">
        <v>1232</v>
      </c>
      <c r="Y1" s="132" t="s">
        <v>1233</v>
      </c>
      <c r="Z1" s="133" t="s">
        <v>1234</v>
      </c>
      <c r="AA1" s="132" t="s">
        <v>1235</v>
      </c>
      <c r="AB1" s="129" t="s">
        <v>1236</v>
      </c>
      <c r="AC1" s="129" t="s">
        <v>1237</v>
      </c>
      <c r="AD1" s="134" t="s">
        <v>1238</v>
      </c>
      <c r="AE1" s="44" t="s">
        <v>1239</v>
      </c>
      <c r="AF1" s="46" t="s">
        <v>30</v>
      </c>
      <c r="AG1" s="44" t="s">
        <v>1240</v>
      </c>
      <c r="AH1" s="135" t="s">
        <v>1241</v>
      </c>
      <c r="AI1" s="47" t="s">
        <v>1242</v>
      </c>
      <c r="AJ1" s="47" t="s">
        <v>1243</v>
      </c>
      <c r="AK1" s="47" t="s">
        <v>22</v>
      </c>
      <c r="AL1" s="126" t="s">
        <v>1244</v>
      </c>
      <c r="AM1" s="127" t="s">
        <v>1245</v>
      </c>
      <c r="AN1" s="127" t="s">
        <v>1246</v>
      </c>
      <c r="AO1" s="136" t="s">
        <v>1247</v>
      </c>
      <c r="AP1" s="47" t="s">
        <v>1248</v>
      </c>
      <c r="AQ1" s="126" t="s">
        <v>1249</v>
      </c>
      <c r="AR1" s="170" t="s">
        <v>1250</v>
      </c>
      <c r="AS1" s="127" t="s">
        <v>1251</v>
      </c>
      <c r="AT1" s="127" t="s">
        <v>1252</v>
      </c>
      <c r="AU1" s="127" t="s">
        <v>1253</v>
      </c>
      <c r="AV1" s="137" t="s">
        <v>1254</v>
      </c>
      <c r="AW1" s="129" t="s">
        <v>1255</v>
      </c>
      <c r="AX1" s="129" t="s">
        <v>1256</v>
      </c>
      <c r="AY1" s="134" t="s">
        <v>1257</v>
      </c>
      <c r="AZ1" s="47" t="s">
        <v>1258</v>
      </c>
      <c r="BA1" s="47" t="s">
        <v>617</v>
      </c>
      <c r="BB1" s="45" t="s">
        <v>1259</v>
      </c>
      <c r="BC1" s="44" t="s">
        <v>1260</v>
      </c>
      <c r="BD1" s="44" t="s">
        <v>1261</v>
      </c>
      <c r="BE1" s="138" t="s">
        <v>1262</v>
      </c>
      <c r="BF1" s="44" t="s">
        <v>1263</v>
      </c>
      <c r="BG1" s="44" t="s">
        <v>1264</v>
      </c>
      <c r="BH1" s="130" t="s">
        <v>1265</v>
      </c>
      <c r="BI1" s="134" t="s">
        <v>1266</v>
      </c>
      <c r="BJ1" s="44" t="s">
        <v>1267</v>
      </c>
      <c r="BK1" s="44" t="s">
        <v>1268</v>
      </c>
      <c r="BL1" s="44" t="s">
        <v>1269</v>
      </c>
      <c r="BM1" s="48" t="s">
        <v>1270</v>
      </c>
      <c r="BN1" s="49" t="s">
        <v>1271</v>
      </c>
      <c r="BO1" s="50" t="s">
        <v>1272</v>
      </c>
      <c r="BP1" s="50" t="s">
        <v>1273</v>
      </c>
      <c r="BQ1" s="50" t="s">
        <v>1274</v>
      </c>
    </row>
    <row r="2" spans="1:69" ht="15.6" customHeight="1">
      <c r="A2" s="51">
        <v>451</v>
      </c>
      <c r="B2" s="51" t="s">
        <v>209</v>
      </c>
      <c r="C2" s="52" t="s">
        <v>212</v>
      </c>
      <c r="D2" s="53">
        <v>46387</v>
      </c>
      <c r="E2" s="52" t="s">
        <v>209</v>
      </c>
      <c r="F2" s="52"/>
      <c r="G2" s="54" t="s">
        <v>680</v>
      </c>
      <c r="H2" s="55" t="s">
        <v>1275</v>
      </c>
      <c r="I2" s="52" t="s">
        <v>651</v>
      </c>
      <c r="J2" s="52"/>
      <c r="K2" s="52" t="s">
        <v>150</v>
      </c>
      <c r="L2" s="52"/>
      <c r="M2" s="52" t="s">
        <v>1276</v>
      </c>
      <c r="N2" s="52" t="s">
        <v>655</v>
      </c>
      <c r="O2" s="111" t="s">
        <v>216</v>
      </c>
      <c r="P2" s="58">
        <v>1</v>
      </c>
      <c r="Q2" s="65"/>
      <c r="R2" s="65"/>
      <c r="S2" s="65"/>
      <c r="T2" s="65"/>
      <c r="U2" s="65"/>
      <c r="V2" s="65"/>
      <c r="W2" s="65"/>
      <c r="X2" s="65"/>
      <c r="Y2" s="65"/>
      <c r="Z2" s="65"/>
      <c r="AA2" s="65"/>
      <c r="AB2" s="61" t="s">
        <v>1277</v>
      </c>
      <c r="AC2" s="61" t="s">
        <v>1277</v>
      </c>
      <c r="AD2" s="61" t="s">
        <v>1277</v>
      </c>
      <c r="AE2" s="56" t="s">
        <v>213</v>
      </c>
      <c r="AF2" s="57" t="s">
        <v>214</v>
      </c>
      <c r="AG2" s="56" t="s">
        <v>150</v>
      </c>
      <c r="AH2" s="52"/>
      <c r="AI2" s="56" t="s">
        <v>217</v>
      </c>
      <c r="AJ2" s="56" t="s">
        <v>216</v>
      </c>
      <c r="AK2" s="56" t="s">
        <v>438</v>
      </c>
      <c r="AL2" s="52"/>
      <c r="AM2" s="52"/>
      <c r="AN2" s="52"/>
      <c r="AO2" s="52"/>
      <c r="AP2" s="56" t="s">
        <v>216</v>
      </c>
      <c r="AQ2" s="52"/>
      <c r="AR2" s="52"/>
      <c r="AS2" s="52"/>
      <c r="AT2" s="52"/>
      <c r="AU2" s="52"/>
      <c r="AV2" s="60"/>
      <c r="AW2" s="62"/>
      <c r="AX2" s="61"/>
      <c r="AY2" s="61"/>
      <c r="AZ2" s="52"/>
      <c r="BA2" s="52"/>
      <c r="BB2" s="52" t="s">
        <v>216</v>
      </c>
      <c r="BC2" s="52"/>
      <c r="BD2" s="52"/>
      <c r="BE2" s="61"/>
      <c r="BF2" s="52"/>
      <c r="BG2" s="52"/>
      <c r="BH2" s="62"/>
      <c r="BI2" s="60"/>
      <c r="BJ2" s="58" t="s">
        <v>1278</v>
      </c>
      <c r="BK2" s="58"/>
      <c r="BL2" s="58"/>
      <c r="BM2" s="59"/>
      <c r="BN2" s="59"/>
      <c r="BO2" s="59"/>
      <c r="BP2" s="59"/>
      <c r="BQ2" s="59"/>
    </row>
    <row r="3" spans="1:69" ht="15.6" customHeight="1">
      <c r="A3" s="60">
        <v>909</v>
      </c>
      <c r="B3" s="60" t="s">
        <v>219</v>
      </c>
      <c r="C3" s="61" t="s">
        <v>223</v>
      </c>
      <c r="D3" s="53">
        <v>46387</v>
      </c>
      <c r="E3" s="61" t="s">
        <v>219</v>
      </c>
      <c r="F3" s="61" t="s">
        <v>696</v>
      </c>
      <c r="G3" s="61" t="s">
        <v>697</v>
      </c>
      <c r="H3" s="62" t="s">
        <v>220</v>
      </c>
      <c r="I3" s="61" t="s">
        <v>681</v>
      </c>
      <c r="J3" s="61"/>
      <c r="K3" s="61" t="s">
        <v>138</v>
      </c>
      <c r="L3" s="61"/>
      <c r="M3" s="61" t="s">
        <v>1276</v>
      </c>
      <c r="N3" s="61" t="s">
        <v>655</v>
      </c>
      <c r="O3" s="64">
        <v>46387</v>
      </c>
      <c r="P3" s="61">
        <v>1</v>
      </c>
      <c r="Q3" s="140"/>
      <c r="R3" s="65"/>
      <c r="S3" s="65"/>
      <c r="T3" s="65"/>
      <c r="U3" s="65"/>
      <c r="V3" s="65"/>
      <c r="W3" s="65"/>
      <c r="X3" s="65"/>
      <c r="Y3" s="65"/>
      <c r="Z3" s="65"/>
      <c r="AA3" s="65"/>
      <c r="AB3" s="61" t="s">
        <v>1279</v>
      </c>
      <c r="AC3" s="61" t="s">
        <v>1280</v>
      </c>
      <c r="AD3" s="61" t="s">
        <v>1280</v>
      </c>
      <c r="AE3" s="61" t="s">
        <v>138</v>
      </c>
      <c r="AF3" s="62" t="s">
        <v>224</v>
      </c>
      <c r="AG3" s="61" t="s">
        <v>138</v>
      </c>
      <c r="AH3" s="60" t="s">
        <v>219</v>
      </c>
      <c r="AI3" s="63" t="s">
        <v>160</v>
      </c>
      <c r="AJ3" s="61" t="s">
        <v>225</v>
      </c>
      <c r="AK3" s="61" t="s">
        <v>221</v>
      </c>
      <c r="AL3" s="61" t="s">
        <v>138</v>
      </c>
      <c r="AM3" s="61" t="s">
        <v>138</v>
      </c>
      <c r="AN3" s="61" t="s">
        <v>138</v>
      </c>
      <c r="AO3" s="61" t="s">
        <v>138</v>
      </c>
      <c r="AP3" s="61" t="s">
        <v>698</v>
      </c>
      <c r="AQ3" s="61" t="s">
        <v>668</v>
      </c>
      <c r="AR3" s="61" t="s">
        <v>1281</v>
      </c>
      <c r="AS3" s="61" t="s">
        <v>682</v>
      </c>
      <c r="AT3" s="61" t="s">
        <v>1282</v>
      </c>
      <c r="AU3" s="61" t="s">
        <v>652</v>
      </c>
      <c r="AV3" s="141" t="s">
        <v>1283</v>
      </c>
      <c r="AW3" s="62"/>
      <c r="AX3" s="61" t="s">
        <v>132</v>
      </c>
      <c r="AY3" s="61" t="s">
        <v>157</v>
      </c>
      <c r="AZ3" s="61" t="s">
        <v>699</v>
      </c>
      <c r="BA3" s="61" t="s">
        <v>700</v>
      </c>
      <c r="BB3" s="64" t="s">
        <v>1284</v>
      </c>
      <c r="BC3" s="61"/>
      <c r="BD3" s="61"/>
      <c r="BE3" s="142"/>
      <c r="BF3" s="61"/>
      <c r="BG3" s="61"/>
      <c r="BH3" s="144" t="s">
        <v>1285</v>
      </c>
      <c r="BI3" s="60"/>
      <c r="BJ3" s="65" t="s">
        <v>1278</v>
      </c>
      <c r="BK3" s="64" t="s">
        <v>215</v>
      </c>
      <c r="BL3" s="64"/>
      <c r="BM3" s="66"/>
      <c r="BN3" s="66"/>
      <c r="BO3" s="66"/>
      <c r="BP3" s="66"/>
      <c r="BQ3" s="66"/>
    </row>
    <row r="4" spans="1:69" ht="15.6" customHeight="1">
      <c r="A4" s="60">
        <v>910</v>
      </c>
      <c r="B4" s="60" t="s">
        <v>227</v>
      </c>
      <c r="C4" s="61" t="s">
        <v>223</v>
      </c>
      <c r="D4" s="53">
        <v>46387</v>
      </c>
      <c r="E4" s="61" t="s">
        <v>227</v>
      </c>
      <c r="F4" s="61" t="s">
        <v>696</v>
      </c>
      <c r="G4" s="61" t="s">
        <v>697</v>
      </c>
      <c r="H4" s="62" t="s">
        <v>228</v>
      </c>
      <c r="I4" s="61" t="s">
        <v>681</v>
      </c>
      <c r="J4" s="61"/>
      <c r="K4" s="61" t="s">
        <v>138</v>
      </c>
      <c r="L4" s="61"/>
      <c r="M4" s="61" t="s">
        <v>1276</v>
      </c>
      <c r="N4" s="61" t="s">
        <v>655</v>
      </c>
      <c r="O4" s="64">
        <v>46387</v>
      </c>
      <c r="P4" s="61">
        <v>1</v>
      </c>
      <c r="Q4" s="140"/>
      <c r="R4" s="65"/>
      <c r="S4" s="65"/>
      <c r="T4" s="65"/>
      <c r="U4" s="65"/>
      <c r="V4" s="65"/>
      <c r="W4" s="65"/>
      <c r="X4" s="65"/>
      <c r="Y4" s="65"/>
      <c r="Z4" s="65"/>
      <c r="AA4" s="65"/>
      <c r="AB4" s="61" t="s">
        <v>1279</v>
      </c>
      <c r="AC4" s="61" t="s">
        <v>1280</v>
      </c>
      <c r="AD4" s="61" t="s">
        <v>1280</v>
      </c>
      <c r="AE4" s="61" t="s">
        <v>138</v>
      </c>
      <c r="AF4" s="62" t="s">
        <v>230</v>
      </c>
      <c r="AG4" s="61" t="s">
        <v>138</v>
      </c>
      <c r="AH4" s="60" t="s">
        <v>227</v>
      </c>
      <c r="AI4" s="63" t="s">
        <v>160</v>
      </c>
      <c r="AJ4" s="63" t="s">
        <v>225</v>
      </c>
      <c r="AK4" s="63" t="s">
        <v>221</v>
      </c>
      <c r="AL4" s="61" t="s">
        <v>138</v>
      </c>
      <c r="AM4" s="61" t="s">
        <v>138</v>
      </c>
      <c r="AN4" s="61" t="s">
        <v>138</v>
      </c>
      <c r="AO4" s="61" t="s">
        <v>138</v>
      </c>
      <c r="AP4" s="63" t="s">
        <v>698</v>
      </c>
      <c r="AQ4" s="61" t="s">
        <v>668</v>
      </c>
      <c r="AR4" s="61" t="s">
        <v>1281</v>
      </c>
      <c r="AS4" s="61" t="s">
        <v>709</v>
      </c>
      <c r="AT4" s="61" t="s">
        <v>1282</v>
      </c>
      <c r="AU4" s="61" t="s">
        <v>652</v>
      </c>
      <c r="AV4" s="141"/>
      <c r="AW4" s="62"/>
      <c r="AX4" s="61" t="s">
        <v>132</v>
      </c>
      <c r="AY4" s="61" t="s">
        <v>157</v>
      </c>
      <c r="AZ4" s="63" t="s">
        <v>699</v>
      </c>
      <c r="BA4" s="63" t="s">
        <v>700</v>
      </c>
      <c r="BB4" s="64" t="s">
        <v>1284</v>
      </c>
      <c r="BC4" s="61"/>
      <c r="BD4" s="61"/>
      <c r="BE4" s="142"/>
      <c r="BF4" s="61"/>
      <c r="BG4" s="61"/>
      <c r="BH4" s="144" t="s">
        <v>1285</v>
      </c>
      <c r="BI4" s="60"/>
      <c r="BJ4" s="65" t="s">
        <v>1278</v>
      </c>
      <c r="BK4" s="64" t="s">
        <v>215</v>
      </c>
      <c r="BL4" s="64"/>
      <c r="BM4" s="66"/>
      <c r="BN4" s="66"/>
      <c r="BO4" s="66"/>
      <c r="BP4" s="66"/>
      <c r="BQ4" s="66"/>
    </row>
    <row r="5" spans="1:69" ht="15.6" customHeight="1">
      <c r="A5" s="60">
        <v>911</v>
      </c>
      <c r="B5" s="60" t="s">
        <v>232</v>
      </c>
      <c r="C5" s="61" t="s">
        <v>223</v>
      </c>
      <c r="D5" s="53">
        <v>46387</v>
      </c>
      <c r="E5" s="61" t="s">
        <v>232</v>
      </c>
      <c r="F5" s="61" t="s">
        <v>229</v>
      </c>
      <c r="G5" s="61" t="s">
        <v>697</v>
      </c>
      <c r="H5" s="62" t="s">
        <v>233</v>
      </c>
      <c r="I5" s="61" t="s">
        <v>681</v>
      </c>
      <c r="J5" s="61"/>
      <c r="K5" s="61" t="s">
        <v>138</v>
      </c>
      <c r="L5" s="61"/>
      <c r="M5" s="61" t="s">
        <v>1276</v>
      </c>
      <c r="N5" s="61" t="s">
        <v>655</v>
      </c>
      <c r="O5" s="64">
        <v>46387</v>
      </c>
      <c r="P5" s="61">
        <v>1</v>
      </c>
      <c r="Q5" s="140"/>
      <c r="R5" s="65"/>
      <c r="S5" s="65"/>
      <c r="T5" s="65"/>
      <c r="U5" s="65"/>
      <c r="V5" s="65"/>
      <c r="W5" s="65"/>
      <c r="X5" s="65"/>
      <c r="Y5" s="65"/>
      <c r="Z5" s="65"/>
      <c r="AA5" s="65"/>
      <c r="AB5" s="61" t="s">
        <v>1279</v>
      </c>
      <c r="AC5" s="61" t="s">
        <v>1280</v>
      </c>
      <c r="AD5" s="61" t="s">
        <v>1280</v>
      </c>
      <c r="AE5" s="61" t="s">
        <v>138</v>
      </c>
      <c r="AF5" s="62" t="s">
        <v>234</v>
      </c>
      <c r="AG5" s="61" t="s">
        <v>138</v>
      </c>
      <c r="AH5" s="60" t="s">
        <v>232</v>
      </c>
      <c r="AI5" s="63" t="s">
        <v>160</v>
      </c>
      <c r="AJ5" s="63" t="s">
        <v>225</v>
      </c>
      <c r="AK5" s="63" t="s">
        <v>221</v>
      </c>
      <c r="AL5" s="61" t="s">
        <v>138</v>
      </c>
      <c r="AM5" s="61" t="s">
        <v>138</v>
      </c>
      <c r="AN5" s="61" t="s">
        <v>138</v>
      </c>
      <c r="AO5" s="61" t="s">
        <v>138</v>
      </c>
      <c r="AP5" s="63" t="s">
        <v>698</v>
      </c>
      <c r="AQ5" s="61" t="s">
        <v>668</v>
      </c>
      <c r="AR5" s="61" t="s">
        <v>1281</v>
      </c>
      <c r="AS5" s="61" t="s">
        <v>1286</v>
      </c>
      <c r="AT5" s="61" t="s">
        <v>1282</v>
      </c>
      <c r="AU5" s="61" t="s">
        <v>652</v>
      </c>
      <c r="AV5" s="141"/>
      <c r="AW5" s="62"/>
      <c r="AX5" s="61" t="s">
        <v>132</v>
      </c>
      <c r="AY5" s="61" t="s">
        <v>157</v>
      </c>
      <c r="AZ5" s="61" t="s">
        <v>699</v>
      </c>
      <c r="BA5" s="61" t="s">
        <v>700</v>
      </c>
      <c r="BB5" s="64" t="s">
        <v>1284</v>
      </c>
      <c r="BC5" s="61"/>
      <c r="BD5" s="61"/>
      <c r="BE5" s="142"/>
      <c r="BF5" s="61"/>
      <c r="BG5" s="61"/>
      <c r="BH5" s="144" t="s">
        <v>1285</v>
      </c>
      <c r="BI5" s="60"/>
      <c r="BJ5" s="65" t="s">
        <v>1278</v>
      </c>
      <c r="BK5" s="64" t="s">
        <v>215</v>
      </c>
      <c r="BL5" s="64"/>
      <c r="BM5" s="66"/>
      <c r="BN5" s="66"/>
      <c r="BO5" s="66"/>
      <c r="BP5" s="66"/>
      <c r="BQ5" s="66"/>
    </row>
    <row r="6" spans="1:69" ht="15.6" customHeight="1">
      <c r="A6" s="60">
        <v>912</v>
      </c>
      <c r="B6" s="60" t="s">
        <v>236</v>
      </c>
      <c r="C6" s="61" t="s">
        <v>223</v>
      </c>
      <c r="D6" s="53">
        <v>46387</v>
      </c>
      <c r="E6" s="61" t="s">
        <v>236</v>
      </c>
      <c r="F6" s="61" t="s">
        <v>229</v>
      </c>
      <c r="G6" s="61" t="s">
        <v>697</v>
      </c>
      <c r="H6" s="62" t="s">
        <v>237</v>
      </c>
      <c r="I6" s="61" t="s">
        <v>681</v>
      </c>
      <c r="J6" s="61"/>
      <c r="K6" s="61" t="s">
        <v>138</v>
      </c>
      <c r="L6" s="61"/>
      <c r="M6" s="61" t="s">
        <v>1276</v>
      </c>
      <c r="N6" s="61" t="s">
        <v>655</v>
      </c>
      <c r="O6" s="64">
        <v>46387</v>
      </c>
      <c r="P6" s="61">
        <v>1</v>
      </c>
      <c r="Q6" s="140"/>
      <c r="R6" s="65"/>
      <c r="S6" s="65"/>
      <c r="T6" s="65"/>
      <c r="U6" s="65"/>
      <c r="V6" s="65"/>
      <c r="W6" s="65"/>
      <c r="X6" s="65"/>
      <c r="Y6" s="65"/>
      <c r="Z6" s="65"/>
      <c r="AA6" s="65"/>
      <c r="AB6" s="61" t="s">
        <v>1279</v>
      </c>
      <c r="AC6" s="61" t="s">
        <v>1280</v>
      </c>
      <c r="AD6" s="61" t="s">
        <v>1280</v>
      </c>
      <c r="AE6" s="61" t="s">
        <v>138</v>
      </c>
      <c r="AF6" s="62" t="s">
        <v>238</v>
      </c>
      <c r="AG6" s="61" t="s">
        <v>138</v>
      </c>
      <c r="AH6" s="60" t="s">
        <v>236</v>
      </c>
      <c r="AI6" s="63" t="s">
        <v>160</v>
      </c>
      <c r="AJ6" s="63" t="s">
        <v>225</v>
      </c>
      <c r="AK6" s="63" t="s">
        <v>221</v>
      </c>
      <c r="AL6" s="61" t="s">
        <v>138</v>
      </c>
      <c r="AM6" s="61" t="s">
        <v>138</v>
      </c>
      <c r="AN6" s="61" t="s">
        <v>138</v>
      </c>
      <c r="AO6" s="61" t="s">
        <v>138</v>
      </c>
      <c r="AP6" s="63" t="s">
        <v>698</v>
      </c>
      <c r="AQ6" s="61" t="s">
        <v>668</v>
      </c>
      <c r="AR6" s="61" t="s">
        <v>1287</v>
      </c>
      <c r="AS6" s="61" t="s">
        <v>682</v>
      </c>
      <c r="AT6" s="61" t="s">
        <v>1282</v>
      </c>
      <c r="AU6" s="61" t="s">
        <v>652</v>
      </c>
      <c r="AV6" s="141"/>
      <c r="AW6" s="62"/>
      <c r="AX6" s="61" t="s">
        <v>132</v>
      </c>
      <c r="AY6" s="61" t="s">
        <v>157</v>
      </c>
      <c r="AZ6" s="61" t="s">
        <v>699</v>
      </c>
      <c r="BA6" s="61" t="s">
        <v>700</v>
      </c>
      <c r="BB6" s="64" t="s">
        <v>1284</v>
      </c>
      <c r="BC6" s="61"/>
      <c r="BD6" s="61"/>
      <c r="BE6" s="142"/>
      <c r="BF6" s="61"/>
      <c r="BG6" s="61"/>
      <c r="BH6" s="144" t="s">
        <v>1285</v>
      </c>
      <c r="BI6" s="60"/>
      <c r="BJ6" s="65" t="s">
        <v>1278</v>
      </c>
      <c r="BK6" s="64" t="s">
        <v>215</v>
      </c>
      <c r="BL6" s="64"/>
      <c r="BM6" s="66"/>
      <c r="BN6" s="66"/>
      <c r="BO6" s="66"/>
      <c r="BP6" s="66"/>
      <c r="BQ6" s="66"/>
    </row>
    <row r="7" spans="1:69" ht="15.6" customHeight="1">
      <c r="A7" s="60">
        <v>921</v>
      </c>
      <c r="B7" s="60" t="s">
        <v>240</v>
      </c>
      <c r="C7" s="61" t="s">
        <v>223</v>
      </c>
      <c r="D7" s="53">
        <v>46387</v>
      </c>
      <c r="E7" s="61" t="s">
        <v>240</v>
      </c>
      <c r="F7" s="61" t="s">
        <v>729</v>
      </c>
      <c r="G7" s="61" t="s">
        <v>697</v>
      </c>
      <c r="H7" s="62" t="s">
        <v>241</v>
      </c>
      <c r="I7" s="61" t="s">
        <v>681</v>
      </c>
      <c r="J7" s="61"/>
      <c r="K7" s="61" t="s">
        <v>138</v>
      </c>
      <c r="L7" s="61"/>
      <c r="M7" s="61" t="s">
        <v>1276</v>
      </c>
      <c r="N7" s="61" t="s">
        <v>655</v>
      </c>
      <c r="O7" s="64">
        <v>46387</v>
      </c>
      <c r="P7" s="61">
        <v>1</v>
      </c>
      <c r="Q7" s="140"/>
      <c r="R7" s="65"/>
      <c r="S7" s="65"/>
      <c r="T7" s="65"/>
      <c r="U7" s="65"/>
      <c r="V7" s="65"/>
      <c r="W7" s="65"/>
      <c r="X7" s="65"/>
      <c r="Y7" s="65"/>
      <c r="Z7" s="65"/>
      <c r="AA7" s="65"/>
      <c r="AB7" s="61" t="s">
        <v>1279</v>
      </c>
      <c r="AC7" s="61" t="s">
        <v>1288</v>
      </c>
      <c r="AD7" s="61" t="s">
        <v>1288</v>
      </c>
      <c r="AE7" s="61" t="s">
        <v>138</v>
      </c>
      <c r="AF7" s="62" t="s">
        <v>242</v>
      </c>
      <c r="AG7" s="61" t="s">
        <v>138</v>
      </c>
      <c r="AH7" s="60" t="s">
        <v>243</v>
      </c>
      <c r="AI7" s="63" t="s">
        <v>160</v>
      </c>
      <c r="AJ7" s="63" t="s">
        <v>225</v>
      </c>
      <c r="AK7" s="63" t="s">
        <v>221</v>
      </c>
      <c r="AL7" s="61" t="s">
        <v>138</v>
      </c>
      <c r="AM7" s="61" t="s">
        <v>138</v>
      </c>
      <c r="AN7" s="61" t="s">
        <v>138</v>
      </c>
      <c r="AO7" s="61" t="s">
        <v>138</v>
      </c>
      <c r="AP7" s="63" t="s">
        <v>698</v>
      </c>
      <c r="AQ7" s="61" t="s">
        <v>668</v>
      </c>
      <c r="AR7" s="61" t="s">
        <v>1287</v>
      </c>
      <c r="AS7" s="61" t="s">
        <v>1289</v>
      </c>
      <c r="AT7" s="61" t="s">
        <v>1282</v>
      </c>
      <c r="AU7" s="61" t="s">
        <v>652</v>
      </c>
      <c r="AV7" s="141" t="s">
        <v>1290</v>
      </c>
      <c r="AW7" s="62"/>
      <c r="AX7" s="61" t="s">
        <v>132</v>
      </c>
      <c r="AY7" s="61" t="s">
        <v>157</v>
      </c>
      <c r="AZ7" s="61" t="s">
        <v>699</v>
      </c>
      <c r="BA7" s="61" t="s">
        <v>700</v>
      </c>
      <c r="BB7" s="64" t="s">
        <v>1284</v>
      </c>
      <c r="BC7" s="61"/>
      <c r="BD7" s="61"/>
      <c r="BE7" s="142"/>
      <c r="BF7" s="61"/>
      <c r="BG7" s="61"/>
      <c r="BH7" s="144" t="s">
        <v>1285</v>
      </c>
      <c r="BI7" s="60"/>
      <c r="BJ7" s="65" t="s">
        <v>1278</v>
      </c>
      <c r="BK7" s="64" t="s">
        <v>215</v>
      </c>
      <c r="BL7" s="64"/>
      <c r="BM7" s="66"/>
      <c r="BN7" s="66"/>
      <c r="BO7" s="66"/>
      <c r="BP7" s="66"/>
      <c r="BQ7" s="66"/>
    </row>
    <row r="8" spans="1:69" ht="15.6" customHeight="1">
      <c r="A8" s="60">
        <v>923</v>
      </c>
      <c r="B8" s="60" t="s">
        <v>245</v>
      </c>
      <c r="C8" s="61" t="s">
        <v>223</v>
      </c>
      <c r="D8" s="53">
        <v>46387</v>
      </c>
      <c r="E8" s="61" t="s">
        <v>245</v>
      </c>
      <c r="F8" s="61" t="s">
        <v>229</v>
      </c>
      <c r="G8" s="61" t="s">
        <v>697</v>
      </c>
      <c r="H8" s="62" t="s">
        <v>246</v>
      </c>
      <c r="I8" s="61" t="s">
        <v>681</v>
      </c>
      <c r="J8" s="61"/>
      <c r="K8" s="61" t="s">
        <v>138</v>
      </c>
      <c r="L8" s="61"/>
      <c r="M8" s="61" t="s">
        <v>1276</v>
      </c>
      <c r="N8" s="61" t="s">
        <v>655</v>
      </c>
      <c r="O8" s="64">
        <v>46387</v>
      </c>
      <c r="P8" s="61">
        <v>1</v>
      </c>
      <c r="Q8" s="140"/>
      <c r="R8" s="65"/>
      <c r="S8" s="65"/>
      <c r="T8" s="65"/>
      <c r="U8" s="65"/>
      <c r="V8" s="65"/>
      <c r="W8" s="65"/>
      <c r="X8" s="65"/>
      <c r="Y8" s="65"/>
      <c r="Z8" s="65"/>
      <c r="AA8" s="65"/>
      <c r="AB8" s="61" t="s">
        <v>1279</v>
      </c>
      <c r="AC8" s="61" t="s">
        <v>1280</v>
      </c>
      <c r="AD8" s="61" t="s">
        <v>1280</v>
      </c>
      <c r="AE8" s="61" t="s">
        <v>138</v>
      </c>
      <c r="AF8" s="62" t="s">
        <v>247</v>
      </c>
      <c r="AG8" s="61" t="s">
        <v>138</v>
      </c>
      <c r="AH8" s="60" t="s">
        <v>245</v>
      </c>
      <c r="AI8" s="63" t="s">
        <v>160</v>
      </c>
      <c r="AJ8" s="63" t="s">
        <v>225</v>
      </c>
      <c r="AK8" s="63" t="s">
        <v>221</v>
      </c>
      <c r="AL8" s="61" t="s">
        <v>138</v>
      </c>
      <c r="AM8" s="61" t="s">
        <v>138</v>
      </c>
      <c r="AN8" s="61" t="s">
        <v>138</v>
      </c>
      <c r="AO8" s="61" t="s">
        <v>138</v>
      </c>
      <c r="AP8" s="63" t="s">
        <v>698</v>
      </c>
      <c r="AQ8" s="61" t="s">
        <v>668</v>
      </c>
      <c r="AR8" s="61" t="s">
        <v>1291</v>
      </c>
      <c r="AS8" s="61" t="s">
        <v>1286</v>
      </c>
      <c r="AT8" s="61" t="s">
        <v>1282</v>
      </c>
      <c r="AU8" s="61" t="s">
        <v>652</v>
      </c>
      <c r="AV8" s="141" t="s">
        <v>1283</v>
      </c>
      <c r="AW8" s="62"/>
      <c r="AX8" s="61" t="s">
        <v>132</v>
      </c>
      <c r="AY8" s="61" t="s">
        <v>157</v>
      </c>
      <c r="AZ8" s="61" t="s">
        <v>699</v>
      </c>
      <c r="BA8" s="61" t="s">
        <v>700</v>
      </c>
      <c r="BB8" s="64" t="s">
        <v>1284</v>
      </c>
      <c r="BC8" s="61"/>
      <c r="BD8" s="61"/>
      <c r="BE8" s="142"/>
      <c r="BF8" s="61"/>
      <c r="BG8" s="61"/>
      <c r="BH8" s="144" t="s">
        <v>1285</v>
      </c>
      <c r="BI8" s="60"/>
      <c r="BJ8" s="65" t="s">
        <v>1278</v>
      </c>
      <c r="BK8" s="64" t="s">
        <v>215</v>
      </c>
      <c r="BL8" s="64"/>
      <c r="BM8" s="66"/>
      <c r="BN8" s="66"/>
      <c r="BO8" s="66"/>
      <c r="BP8" s="66"/>
      <c r="BQ8" s="66"/>
    </row>
    <row r="9" spans="1:69" ht="15.6" customHeight="1">
      <c r="A9" s="60">
        <v>924</v>
      </c>
      <c r="B9" s="60" t="s">
        <v>249</v>
      </c>
      <c r="C9" s="61" t="s">
        <v>223</v>
      </c>
      <c r="D9" s="53">
        <v>46387</v>
      </c>
      <c r="E9" s="61" t="s">
        <v>249</v>
      </c>
      <c r="F9" s="61" t="s">
        <v>729</v>
      </c>
      <c r="G9" s="61" t="s">
        <v>697</v>
      </c>
      <c r="H9" s="62" t="s">
        <v>250</v>
      </c>
      <c r="I9" s="61" t="s">
        <v>681</v>
      </c>
      <c r="J9" s="61"/>
      <c r="K9" s="61" t="s">
        <v>138</v>
      </c>
      <c r="L9" s="61"/>
      <c r="M9" s="61" t="s">
        <v>1276</v>
      </c>
      <c r="N9" s="61" t="s">
        <v>655</v>
      </c>
      <c r="O9" s="64">
        <v>46387</v>
      </c>
      <c r="P9" s="61">
        <v>1</v>
      </c>
      <c r="Q9" s="140"/>
      <c r="R9" s="65"/>
      <c r="S9" s="65"/>
      <c r="T9" s="65"/>
      <c r="U9" s="65"/>
      <c r="V9" s="65"/>
      <c r="W9" s="65"/>
      <c r="X9" s="65"/>
      <c r="Y9" s="65"/>
      <c r="Z9" s="65"/>
      <c r="AA9" s="65"/>
      <c r="AB9" s="61" t="s">
        <v>1279</v>
      </c>
      <c r="AC9" s="61" t="s">
        <v>1292</v>
      </c>
      <c r="AD9" s="61" t="s">
        <v>1292</v>
      </c>
      <c r="AE9" s="61" t="s">
        <v>138</v>
      </c>
      <c r="AF9" s="62" t="s">
        <v>251</v>
      </c>
      <c r="AG9" s="61" t="s">
        <v>138</v>
      </c>
      <c r="AH9" s="60" t="s">
        <v>249</v>
      </c>
      <c r="AI9" s="63" t="s">
        <v>160</v>
      </c>
      <c r="AJ9" s="63" t="s">
        <v>225</v>
      </c>
      <c r="AK9" s="63" t="s">
        <v>221</v>
      </c>
      <c r="AL9" s="61" t="s">
        <v>138</v>
      </c>
      <c r="AM9" s="61" t="s">
        <v>138</v>
      </c>
      <c r="AN9" s="61" t="s">
        <v>138</v>
      </c>
      <c r="AO9" s="61" t="s">
        <v>138</v>
      </c>
      <c r="AP9" s="63" t="s">
        <v>698</v>
      </c>
      <c r="AQ9" s="61" t="s">
        <v>668</v>
      </c>
      <c r="AR9" s="61" t="s">
        <v>1293</v>
      </c>
      <c r="AS9" s="61" t="s">
        <v>709</v>
      </c>
      <c r="AT9" s="61" t="s">
        <v>1282</v>
      </c>
      <c r="AU9" s="61" t="s">
        <v>652</v>
      </c>
      <c r="AV9" s="141"/>
      <c r="AW9" s="62"/>
      <c r="AX9" s="61" t="s">
        <v>132</v>
      </c>
      <c r="AY9" s="61" t="s">
        <v>157</v>
      </c>
      <c r="AZ9" s="61" t="s">
        <v>699</v>
      </c>
      <c r="BA9" s="61" t="s">
        <v>700</v>
      </c>
      <c r="BB9" s="64" t="s">
        <v>1284</v>
      </c>
      <c r="BC9" s="61"/>
      <c r="BD9" s="61"/>
      <c r="BE9" s="142"/>
      <c r="BF9" s="61"/>
      <c r="BG9" s="61"/>
      <c r="BH9" s="144" t="s">
        <v>1285</v>
      </c>
      <c r="BI9" s="60"/>
      <c r="BJ9" s="65" t="s">
        <v>1278</v>
      </c>
      <c r="BK9" s="64" t="s">
        <v>215</v>
      </c>
      <c r="BL9" s="64"/>
      <c r="BM9" s="66"/>
      <c r="BN9" s="66"/>
      <c r="BO9" s="66"/>
      <c r="BP9" s="66"/>
      <c r="BQ9" s="66"/>
    </row>
    <row r="10" spans="1:69" ht="15.6" customHeight="1">
      <c r="A10" s="60">
        <v>926</v>
      </c>
      <c r="B10" s="60" t="s">
        <v>253</v>
      </c>
      <c r="C10" s="61" t="s">
        <v>223</v>
      </c>
      <c r="D10" s="53">
        <v>46387</v>
      </c>
      <c r="E10" s="61" t="s">
        <v>253</v>
      </c>
      <c r="F10" s="61" t="s">
        <v>729</v>
      </c>
      <c r="G10" s="61" t="s">
        <v>697</v>
      </c>
      <c r="H10" s="62" t="s">
        <v>254</v>
      </c>
      <c r="I10" s="61" t="s">
        <v>681</v>
      </c>
      <c r="J10" s="61"/>
      <c r="K10" s="61" t="s">
        <v>138</v>
      </c>
      <c r="L10" s="61"/>
      <c r="M10" s="61" t="s">
        <v>1276</v>
      </c>
      <c r="N10" s="61" t="s">
        <v>655</v>
      </c>
      <c r="O10" s="64">
        <v>46387</v>
      </c>
      <c r="P10" s="61">
        <v>1</v>
      </c>
      <c r="Q10" s="140"/>
      <c r="R10" s="65"/>
      <c r="S10" s="65"/>
      <c r="T10" s="65"/>
      <c r="U10" s="65"/>
      <c r="V10" s="65"/>
      <c r="W10" s="65"/>
      <c r="X10" s="65"/>
      <c r="Y10" s="65"/>
      <c r="Z10" s="65"/>
      <c r="AA10" s="65"/>
      <c r="AB10" s="61" t="s">
        <v>1279</v>
      </c>
      <c r="AC10" s="61" t="s">
        <v>1280</v>
      </c>
      <c r="AD10" s="61" t="s">
        <v>1280</v>
      </c>
      <c r="AE10" s="61" t="s">
        <v>138</v>
      </c>
      <c r="AF10" s="62" t="s">
        <v>255</v>
      </c>
      <c r="AG10" s="61" t="s">
        <v>138</v>
      </c>
      <c r="AH10" s="60" t="s">
        <v>253</v>
      </c>
      <c r="AI10" s="63" t="s">
        <v>160</v>
      </c>
      <c r="AJ10" s="63" t="s">
        <v>225</v>
      </c>
      <c r="AK10" s="63" t="s">
        <v>221</v>
      </c>
      <c r="AL10" s="61" t="s">
        <v>138</v>
      </c>
      <c r="AM10" s="61" t="s">
        <v>138</v>
      </c>
      <c r="AN10" s="61" t="s">
        <v>138</v>
      </c>
      <c r="AO10" s="61" t="s">
        <v>138</v>
      </c>
      <c r="AP10" s="63" t="s">
        <v>698</v>
      </c>
      <c r="AQ10" s="61" t="s">
        <v>668</v>
      </c>
      <c r="AR10" s="61" t="s">
        <v>1287</v>
      </c>
      <c r="AS10" s="61" t="s">
        <v>709</v>
      </c>
      <c r="AT10" s="61" t="s">
        <v>1282</v>
      </c>
      <c r="AU10" s="61" t="s">
        <v>652</v>
      </c>
      <c r="AV10" s="141" t="s">
        <v>1294</v>
      </c>
      <c r="AW10" s="62"/>
      <c r="AX10" s="61" t="s">
        <v>132</v>
      </c>
      <c r="AY10" s="61" t="s">
        <v>157</v>
      </c>
      <c r="AZ10" s="61" t="s">
        <v>699</v>
      </c>
      <c r="BA10" s="61" t="s">
        <v>700</v>
      </c>
      <c r="BB10" s="64" t="s">
        <v>1284</v>
      </c>
      <c r="BC10" s="61"/>
      <c r="BD10" s="61"/>
      <c r="BE10" s="142"/>
      <c r="BF10" s="61"/>
      <c r="BG10" s="61"/>
      <c r="BH10" s="144" t="s">
        <v>1285</v>
      </c>
      <c r="BI10" s="60"/>
      <c r="BJ10" s="65" t="s">
        <v>1278</v>
      </c>
      <c r="BK10" s="64" t="s">
        <v>215</v>
      </c>
      <c r="BL10" s="64"/>
      <c r="BM10" s="66"/>
      <c r="BN10" s="66"/>
      <c r="BO10" s="66"/>
      <c r="BP10" s="66"/>
      <c r="BQ10" s="66"/>
    </row>
    <row r="11" spans="1:69" ht="15.6" customHeight="1">
      <c r="A11" s="60">
        <v>940</v>
      </c>
      <c r="B11" s="60" t="s">
        <v>257</v>
      </c>
      <c r="C11" s="61" t="s">
        <v>212</v>
      </c>
      <c r="D11" s="53">
        <v>46446</v>
      </c>
      <c r="E11" s="61" t="s">
        <v>257</v>
      </c>
      <c r="F11" s="61"/>
      <c r="G11" s="63" t="s">
        <v>753</v>
      </c>
      <c r="H11" s="62" t="s">
        <v>1295</v>
      </c>
      <c r="I11" s="52" t="s">
        <v>651</v>
      </c>
      <c r="J11" s="61"/>
      <c r="K11" s="61" t="s">
        <v>138</v>
      </c>
      <c r="L11" s="61"/>
      <c r="M11" s="61" t="s">
        <v>1276</v>
      </c>
      <c r="N11" s="61" t="s">
        <v>655</v>
      </c>
      <c r="O11" s="64" t="s">
        <v>215</v>
      </c>
      <c r="P11" s="61">
        <v>1</v>
      </c>
      <c r="Q11" s="140"/>
      <c r="R11" s="65"/>
      <c r="S11" s="65"/>
      <c r="T11" s="65"/>
      <c r="U11" s="65"/>
      <c r="V11" s="65"/>
      <c r="W11" s="65"/>
      <c r="X11" s="65"/>
      <c r="Y11" s="65"/>
      <c r="Z11" s="65"/>
      <c r="AA11" s="65"/>
      <c r="AB11" s="61" t="s">
        <v>1279</v>
      </c>
      <c r="AC11" s="61" t="s">
        <v>1280</v>
      </c>
      <c r="AD11" s="61" t="s">
        <v>1280</v>
      </c>
      <c r="AE11" s="61" t="s">
        <v>259</v>
      </c>
      <c r="AF11" s="62" t="s">
        <v>260</v>
      </c>
      <c r="AG11" s="61" t="s">
        <v>138</v>
      </c>
      <c r="AH11" s="61"/>
      <c r="AI11" s="67" t="s">
        <v>160</v>
      </c>
      <c r="AJ11" s="67" t="s">
        <v>225</v>
      </c>
      <c r="AK11" s="67" t="s">
        <v>749</v>
      </c>
      <c r="AL11" s="61" t="s">
        <v>150</v>
      </c>
      <c r="AM11" s="61" t="s">
        <v>138</v>
      </c>
      <c r="AN11" s="61" t="s">
        <v>150</v>
      </c>
      <c r="AO11" s="61" t="s">
        <v>138</v>
      </c>
      <c r="AP11" s="67" t="s">
        <v>754</v>
      </c>
      <c r="AQ11" s="61" t="s">
        <v>668</v>
      </c>
      <c r="AR11" s="61" t="s">
        <v>751</v>
      </c>
      <c r="AS11" s="61" t="s">
        <v>1296</v>
      </c>
      <c r="AT11" s="61" t="s">
        <v>1297</v>
      </c>
      <c r="AU11" s="61"/>
      <c r="AV11" s="141" t="s">
        <v>1298</v>
      </c>
      <c r="AW11" s="62"/>
      <c r="AX11" s="61" t="s">
        <v>132</v>
      </c>
      <c r="AY11" s="61" t="s">
        <v>1299</v>
      </c>
      <c r="AZ11" s="63" t="s">
        <v>755</v>
      </c>
      <c r="BA11" s="63" t="s">
        <v>700</v>
      </c>
      <c r="BB11" s="64" t="s">
        <v>215</v>
      </c>
      <c r="BC11" s="61"/>
      <c r="BD11" s="61"/>
      <c r="BE11" s="143"/>
      <c r="BF11" s="61"/>
      <c r="BG11" s="61"/>
      <c r="BH11" s="144"/>
      <c r="BI11" s="60"/>
      <c r="BJ11" s="65" t="s">
        <v>1278</v>
      </c>
      <c r="BK11" s="64" t="s">
        <v>215</v>
      </c>
      <c r="BL11" s="64"/>
      <c r="BM11" s="66"/>
      <c r="BN11" s="66"/>
      <c r="BO11" s="66"/>
      <c r="BP11" s="66"/>
      <c r="BQ11" s="66"/>
    </row>
    <row r="12" spans="1:69" ht="15.6" customHeight="1">
      <c r="A12" s="60">
        <v>1208</v>
      </c>
      <c r="B12" s="60" t="s">
        <v>262</v>
      </c>
      <c r="C12" s="61" t="s">
        <v>223</v>
      </c>
      <c r="D12" s="53">
        <v>46387</v>
      </c>
      <c r="E12" s="64" t="s">
        <v>262</v>
      </c>
      <c r="F12" s="64" t="s">
        <v>1300</v>
      </c>
      <c r="G12" s="68" t="s">
        <v>1301</v>
      </c>
      <c r="H12" s="62" t="s">
        <v>1302</v>
      </c>
      <c r="I12" s="52" t="s">
        <v>651</v>
      </c>
      <c r="J12" s="61"/>
      <c r="K12" s="61" t="s">
        <v>150</v>
      </c>
      <c r="L12" s="61"/>
      <c r="M12" s="61" t="s">
        <v>1276</v>
      </c>
      <c r="N12" s="61" t="s">
        <v>655</v>
      </c>
      <c r="O12" s="64"/>
      <c r="P12" s="65">
        <v>1</v>
      </c>
      <c r="Q12" s="140"/>
      <c r="R12" s="65"/>
      <c r="S12" s="65"/>
      <c r="T12" s="65"/>
      <c r="U12" s="65"/>
      <c r="V12" s="65"/>
      <c r="W12" s="65"/>
      <c r="X12" s="65"/>
      <c r="Y12" s="65"/>
      <c r="Z12" s="65"/>
      <c r="AA12" s="65"/>
      <c r="AB12" s="61" t="s">
        <v>1303</v>
      </c>
      <c r="AC12" s="61" t="s">
        <v>1304</v>
      </c>
      <c r="AD12" s="61" t="s">
        <v>1305</v>
      </c>
      <c r="AE12" s="61" t="s">
        <v>150</v>
      </c>
      <c r="AF12" s="62" t="s">
        <v>264</v>
      </c>
      <c r="AG12" s="61" t="s">
        <v>150</v>
      </c>
      <c r="AH12" s="61"/>
      <c r="AI12" s="67" t="s">
        <v>217</v>
      </c>
      <c r="AJ12" s="67" t="s">
        <v>216</v>
      </c>
      <c r="AK12" s="67" t="s">
        <v>438</v>
      </c>
      <c r="AL12" s="61" t="s">
        <v>150</v>
      </c>
      <c r="AM12" s="61" t="s">
        <v>138</v>
      </c>
      <c r="AN12" s="61" t="s">
        <v>150</v>
      </c>
      <c r="AO12" s="61" t="s">
        <v>150</v>
      </c>
      <c r="AP12" s="67" t="s">
        <v>216</v>
      </c>
      <c r="AQ12" s="61" t="s">
        <v>668</v>
      </c>
      <c r="AR12" s="61" t="s">
        <v>1306</v>
      </c>
      <c r="AS12" s="61" t="s">
        <v>1296</v>
      </c>
      <c r="AT12" s="61" t="s">
        <v>1297</v>
      </c>
      <c r="AU12" s="61"/>
      <c r="AV12" s="141" t="s">
        <v>1307</v>
      </c>
      <c r="AW12" s="62" t="s">
        <v>1308</v>
      </c>
      <c r="AX12" s="61" t="s">
        <v>132</v>
      </c>
      <c r="AY12" s="61" t="s">
        <v>1309</v>
      </c>
      <c r="AZ12" s="63" t="s">
        <v>216</v>
      </c>
      <c r="BA12" s="63" t="s">
        <v>216</v>
      </c>
      <c r="BB12" s="64" t="s">
        <v>215</v>
      </c>
      <c r="BC12" s="61"/>
      <c r="BD12" s="61"/>
      <c r="BE12" s="143"/>
      <c r="BF12" s="61"/>
      <c r="BG12" s="61"/>
      <c r="BH12" s="144"/>
      <c r="BI12" s="60"/>
      <c r="BJ12" s="65" t="s">
        <v>1278</v>
      </c>
      <c r="BK12" s="65"/>
      <c r="BL12" s="69" t="s">
        <v>1310</v>
      </c>
      <c r="BM12" s="66"/>
      <c r="BN12" s="60" t="s">
        <v>1311</v>
      </c>
      <c r="BO12" s="70" t="s">
        <v>1312</v>
      </c>
      <c r="BP12" s="60" t="s">
        <v>1313</v>
      </c>
      <c r="BQ12" s="60" t="s">
        <v>1314</v>
      </c>
    </row>
    <row r="13" spans="1:69" ht="15.6" customHeight="1">
      <c r="A13" s="60">
        <v>1214</v>
      </c>
      <c r="B13" s="60" t="s">
        <v>266</v>
      </c>
      <c r="C13" s="52" t="s">
        <v>212</v>
      </c>
      <c r="D13" s="53">
        <v>46387</v>
      </c>
      <c r="E13" s="61" t="s">
        <v>266</v>
      </c>
      <c r="F13" s="61"/>
      <c r="G13" s="71" t="s">
        <v>767</v>
      </c>
      <c r="H13" s="62" t="s">
        <v>1315</v>
      </c>
      <c r="I13" s="52" t="s">
        <v>651</v>
      </c>
      <c r="J13" s="61"/>
      <c r="K13" s="67" t="s">
        <v>150</v>
      </c>
      <c r="L13" s="61"/>
      <c r="M13" s="61" t="s">
        <v>1276</v>
      </c>
      <c r="N13" s="61" t="s">
        <v>655</v>
      </c>
      <c r="O13" s="64" t="s">
        <v>216</v>
      </c>
      <c r="P13" s="65">
        <v>1</v>
      </c>
      <c r="Q13" s="65"/>
      <c r="R13" s="65"/>
      <c r="S13" s="65"/>
      <c r="T13" s="65"/>
      <c r="U13" s="65"/>
      <c r="V13" s="65"/>
      <c r="W13" s="65"/>
      <c r="X13" s="65"/>
      <c r="Y13" s="65"/>
      <c r="Z13" s="65"/>
      <c r="AA13" s="65"/>
      <c r="AB13" s="61" t="s">
        <v>1277</v>
      </c>
      <c r="AC13" s="61" t="s">
        <v>1277</v>
      </c>
      <c r="AD13" s="61" t="s">
        <v>1277</v>
      </c>
      <c r="AE13" s="63" t="s">
        <v>150</v>
      </c>
      <c r="AF13" s="72"/>
      <c r="AG13" s="63" t="s">
        <v>150</v>
      </c>
      <c r="AH13" s="61"/>
      <c r="AI13" s="63" t="s">
        <v>216</v>
      </c>
      <c r="AJ13" s="63" t="s">
        <v>216</v>
      </c>
      <c r="AK13" s="63" t="s">
        <v>438</v>
      </c>
      <c r="AL13" s="61"/>
      <c r="AM13" s="61"/>
      <c r="AN13" s="61"/>
      <c r="AO13" s="61"/>
      <c r="AP13" s="63" t="s">
        <v>216</v>
      </c>
      <c r="AQ13" s="61"/>
      <c r="AR13" s="61"/>
      <c r="AS13" s="61"/>
      <c r="AT13" s="61"/>
      <c r="AU13" s="61"/>
      <c r="AV13" s="60"/>
      <c r="AW13" s="62"/>
      <c r="AX13" s="61"/>
      <c r="AY13" s="61"/>
      <c r="AZ13" s="61"/>
      <c r="BA13" s="61"/>
      <c r="BB13" s="52" t="s">
        <v>216</v>
      </c>
      <c r="BC13" s="61"/>
      <c r="BD13" s="61"/>
      <c r="BE13" s="61"/>
      <c r="BF13" s="61"/>
      <c r="BG13" s="61"/>
      <c r="BH13" s="62"/>
      <c r="BI13" s="60"/>
      <c r="BJ13" s="65" t="s">
        <v>1278</v>
      </c>
      <c r="BK13" s="65"/>
      <c r="BL13" s="65"/>
      <c r="BM13" s="66"/>
      <c r="BN13" s="66"/>
      <c r="BO13" s="66"/>
      <c r="BP13" s="66"/>
      <c r="BQ13" s="66"/>
    </row>
    <row r="14" spans="1:69" ht="15.6" customHeight="1">
      <c r="A14" s="60">
        <v>1220</v>
      </c>
      <c r="B14" s="60" t="s">
        <v>269</v>
      </c>
      <c r="C14" s="63" t="s">
        <v>212</v>
      </c>
      <c r="D14" s="53">
        <v>46387</v>
      </c>
      <c r="E14" s="64" t="s">
        <v>269</v>
      </c>
      <c r="F14" s="64"/>
      <c r="G14" s="240" t="s">
        <v>1316</v>
      </c>
      <c r="H14" s="62" t="s">
        <v>1317</v>
      </c>
      <c r="I14" s="52" t="s">
        <v>651</v>
      </c>
      <c r="J14" s="61"/>
      <c r="K14" s="61" t="s">
        <v>138</v>
      </c>
      <c r="L14" s="61"/>
      <c r="M14" s="61" t="s">
        <v>1276</v>
      </c>
      <c r="N14" s="61" t="s">
        <v>655</v>
      </c>
      <c r="O14" s="64" t="s">
        <v>215</v>
      </c>
      <c r="P14" s="65">
        <v>1</v>
      </c>
      <c r="Q14" s="140"/>
      <c r="R14" s="65"/>
      <c r="S14" s="65"/>
      <c r="T14" s="65"/>
      <c r="U14" s="65"/>
      <c r="V14" s="65"/>
      <c r="W14" s="65"/>
      <c r="X14" s="65"/>
      <c r="Y14" s="65"/>
      <c r="Z14" s="65"/>
      <c r="AA14" s="65"/>
      <c r="AB14" s="65" t="s">
        <v>1279</v>
      </c>
      <c r="AC14" s="61" t="s">
        <v>1280</v>
      </c>
      <c r="AD14" s="61" t="s">
        <v>1280</v>
      </c>
      <c r="AE14" s="61" t="s">
        <v>150</v>
      </c>
      <c r="AF14" s="62" t="s">
        <v>271</v>
      </c>
      <c r="AG14" s="61" t="s">
        <v>150</v>
      </c>
      <c r="AH14" s="61"/>
      <c r="AI14" s="63" t="s">
        <v>160</v>
      </c>
      <c r="AJ14" s="63" t="s">
        <v>272</v>
      </c>
      <c r="AK14" s="63" t="s">
        <v>438</v>
      </c>
      <c r="AL14" s="61" t="s">
        <v>216</v>
      </c>
      <c r="AM14" s="61" t="s">
        <v>216</v>
      </c>
      <c r="AN14" s="61" t="s">
        <v>216</v>
      </c>
      <c r="AO14" s="61" t="s">
        <v>216</v>
      </c>
      <c r="AP14" s="63" t="s">
        <v>216</v>
      </c>
      <c r="AQ14" s="61" t="s">
        <v>668</v>
      </c>
      <c r="AR14" s="61" t="s">
        <v>769</v>
      </c>
      <c r="AS14" s="61" t="s">
        <v>1296</v>
      </c>
      <c r="AT14" s="61" t="s">
        <v>1297</v>
      </c>
      <c r="AU14" s="61"/>
      <c r="AV14" s="141" t="s">
        <v>1318</v>
      </c>
      <c r="AW14" s="62"/>
      <c r="AX14" s="61" t="s">
        <v>132</v>
      </c>
      <c r="AY14" s="61" t="s">
        <v>776</v>
      </c>
      <c r="AZ14" s="61" t="s">
        <v>216</v>
      </c>
      <c r="BA14" s="61" t="s">
        <v>771</v>
      </c>
      <c r="BB14" s="64">
        <v>46218</v>
      </c>
      <c r="BC14" s="61"/>
      <c r="BD14" s="61"/>
      <c r="BE14" s="143"/>
      <c r="BF14" s="61"/>
      <c r="BG14" s="61"/>
      <c r="BH14" s="144"/>
      <c r="BI14" s="60"/>
      <c r="BJ14" s="65" t="s">
        <v>1278</v>
      </c>
      <c r="BK14" s="65"/>
      <c r="BL14" s="65"/>
      <c r="BM14" s="66"/>
      <c r="BN14" s="66"/>
      <c r="BO14" s="66"/>
      <c r="BP14" s="66"/>
      <c r="BQ14" s="66"/>
    </row>
    <row r="15" spans="1:69" ht="15.6" customHeight="1">
      <c r="A15" s="60">
        <v>1418</v>
      </c>
      <c r="B15" s="73" t="s">
        <v>274</v>
      </c>
      <c r="C15" s="67" t="s">
        <v>212</v>
      </c>
      <c r="D15" s="53">
        <v>46387</v>
      </c>
      <c r="E15" s="63" t="s">
        <v>274</v>
      </c>
      <c r="F15" s="61"/>
      <c r="G15" s="74" t="s">
        <v>775</v>
      </c>
      <c r="H15" s="75" t="s">
        <v>1319</v>
      </c>
      <c r="I15" s="52" t="s">
        <v>651</v>
      </c>
      <c r="J15" s="61"/>
      <c r="K15" s="61" t="s">
        <v>150</v>
      </c>
      <c r="L15" s="61"/>
      <c r="M15" s="61" t="s">
        <v>1276</v>
      </c>
      <c r="N15" s="61" t="s">
        <v>655</v>
      </c>
      <c r="O15" s="145"/>
      <c r="P15" s="146">
        <v>1</v>
      </c>
      <c r="Q15" s="140"/>
      <c r="R15" s="65"/>
      <c r="S15" s="65"/>
      <c r="T15" s="65"/>
      <c r="U15" s="65"/>
      <c r="V15" s="65"/>
      <c r="W15" s="147"/>
      <c r="X15" s="147"/>
      <c r="Y15" s="147"/>
      <c r="Z15" s="147"/>
      <c r="AA15" s="147"/>
      <c r="AB15" s="65" t="s">
        <v>1279</v>
      </c>
      <c r="AC15" s="61" t="s">
        <v>1280</v>
      </c>
      <c r="AD15" s="61" t="s">
        <v>1280</v>
      </c>
      <c r="AE15" s="61" t="s">
        <v>150</v>
      </c>
      <c r="AF15" s="62" t="s">
        <v>277</v>
      </c>
      <c r="AG15" s="61" t="s">
        <v>138</v>
      </c>
      <c r="AH15" s="61"/>
      <c r="AI15" s="63" t="s">
        <v>217</v>
      </c>
      <c r="AJ15" s="63" t="s">
        <v>216</v>
      </c>
      <c r="AK15" s="63" t="s">
        <v>217</v>
      </c>
      <c r="AL15" s="61" t="s">
        <v>216</v>
      </c>
      <c r="AM15" s="61" t="s">
        <v>216</v>
      </c>
      <c r="AN15" s="61" t="s">
        <v>216</v>
      </c>
      <c r="AO15" s="61" t="s">
        <v>216</v>
      </c>
      <c r="AP15" s="63" t="s">
        <v>216</v>
      </c>
      <c r="AQ15" s="61" t="s">
        <v>668</v>
      </c>
      <c r="AR15" s="61" t="s">
        <v>774</v>
      </c>
      <c r="AS15" s="61" t="s">
        <v>1296</v>
      </c>
      <c r="AT15" s="61" t="s">
        <v>1297</v>
      </c>
      <c r="AU15" s="61"/>
      <c r="AV15" s="141" t="s">
        <v>1320</v>
      </c>
      <c r="AW15" s="62"/>
      <c r="AX15" s="61" t="s">
        <v>132</v>
      </c>
      <c r="AY15" s="61" t="s">
        <v>776</v>
      </c>
      <c r="AZ15" s="63" t="s">
        <v>776</v>
      </c>
      <c r="BA15" s="63" t="s">
        <v>776</v>
      </c>
      <c r="BB15" s="64">
        <v>45231</v>
      </c>
      <c r="BC15" s="61"/>
      <c r="BD15" s="61"/>
      <c r="BE15" s="143"/>
      <c r="BF15" s="61"/>
      <c r="BG15" s="61"/>
      <c r="BH15" s="144"/>
      <c r="BI15" s="60"/>
      <c r="BJ15" s="65" t="s">
        <v>1278</v>
      </c>
      <c r="BK15" s="65"/>
      <c r="BL15" s="65"/>
      <c r="BM15" s="66"/>
      <c r="BN15" s="66"/>
      <c r="BO15" s="66"/>
      <c r="BP15" s="66"/>
      <c r="BQ15" s="66"/>
    </row>
    <row r="16" spans="1:69" ht="15.6" customHeight="1">
      <c r="A16" s="60">
        <v>1660</v>
      </c>
      <c r="B16" s="60" t="s">
        <v>279</v>
      </c>
      <c r="C16" s="61" t="s">
        <v>223</v>
      </c>
      <c r="D16" s="53">
        <v>46173</v>
      </c>
      <c r="E16" s="61" t="s">
        <v>279</v>
      </c>
      <c r="F16" s="61" t="s">
        <v>789</v>
      </c>
      <c r="G16" s="76" t="s">
        <v>790</v>
      </c>
      <c r="H16" s="62" t="s">
        <v>1321</v>
      </c>
      <c r="I16" s="61" t="s">
        <v>681</v>
      </c>
      <c r="J16" s="61" t="s">
        <v>281</v>
      </c>
      <c r="K16" s="61" t="s">
        <v>138</v>
      </c>
      <c r="L16" s="61"/>
      <c r="M16" s="61" t="s">
        <v>1276</v>
      </c>
      <c r="N16" s="61" t="s">
        <v>655</v>
      </c>
      <c r="O16" s="145" t="s">
        <v>215</v>
      </c>
      <c r="P16" s="146">
        <v>1</v>
      </c>
      <c r="Q16" s="140"/>
      <c r="R16" s="65"/>
      <c r="S16" s="65"/>
      <c r="T16" s="65"/>
      <c r="U16" s="65"/>
      <c r="V16" s="65"/>
      <c r="W16" s="147"/>
      <c r="X16" s="147"/>
      <c r="Y16" s="147"/>
      <c r="Z16" s="147"/>
      <c r="AA16" s="147"/>
      <c r="AB16" s="61" t="s">
        <v>1322</v>
      </c>
      <c r="AC16" s="61" t="s">
        <v>1288</v>
      </c>
      <c r="AD16" s="61" t="s">
        <v>1288</v>
      </c>
      <c r="AE16" s="61" t="s">
        <v>138</v>
      </c>
      <c r="AF16" s="62" t="s">
        <v>282</v>
      </c>
      <c r="AG16" s="61" t="s">
        <v>138</v>
      </c>
      <c r="AH16" s="61"/>
      <c r="AI16" s="63" t="s">
        <v>160</v>
      </c>
      <c r="AJ16" s="77" t="s">
        <v>1323</v>
      </c>
      <c r="AK16" s="77" t="s">
        <v>221</v>
      </c>
      <c r="AL16" s="61" t="s">
        <v>138</v>
      </c>
      <c r="AM16" s="61" t="s">
        <v>138</v>
      </c>
      <c r="AN16" s="61" t="s">
        <v>138</v>
      </c>
      <c r="AO16" s="61" t="s">
        <v>138</v>
      </c>
      <c r="AP16" s="77" t="s">
        <v>791</v>
      </c>
      <c r="AQ16" s="61" t="s">
        <v>216</v>
      </c>
      <c r="AR16" s="61" t="s">
        <v>216</v>
      </c>
      <c r="AS16" s="61" t="s">
        <v>281</v>
      </c>
      <c r="AT16" s="61" t="s">
        <v>1324</v>
      </c>
      <c r="AU16" s="77" t="s">
        <v>1325</v>
      </c>
      <c r="AV16" s="141" t="s">
        <v>1326</v>
      </c>
      <c r="AW16" s="62"/>
      <c r="AX16" s="61" t="s">
        <v>132</v>
      </c>
      <c r="AY16" s="61" t="s">
        <v>157</v>
      </c>
      <c r="AZ16" s="77" t="s">
        <v>699</v>
      </c>
      <c r="BA16" s="77" t="s">
        <v>700</v>
      </c>
      <c r="BB16" s="64" t="s">
        <v>215</v>
      </c>
      <c r="BC16" s="61"/>
      <c r="BD16" s="61"/>
      <c r="BE16" s="142"/>
      <c r="BF16" s="61" t="s">
        <v>150</v>
      </c>
      <c r="BG16" s="61" t="s">
        <v>189</v>
      </c>
      <c r="BH16" s="144" t="s">
        <v>1327</v>
      </c>
      <c r="BI16" s="60"/>
      <c r="BJ16" s="65" t="s">
        <v>1278</v>
      </c>
      <c r="BK16" s="65" t="s">
        <v>215</v>
      </c>
      <c r="BL16" s="65"/>
      <c r="BM16" s="66"/>
      <c r="BN16" s="60" t="s">
        <v>1328</v>
      </c>
      <c r="BO16" s="60" t="s">
        <v>1329</v>
      </c>
      <c r="BP16" s="66"/>
      <c r="BQ16" s="66"/>
    </row>
    <row r="17" spans="1:69" ht="15.6" customHeight="1">
      <c r="A17" s="60">
        <v>2887</v>
      </c>
      <c r="B17" s="60" t="s">
        <v>285</v>
      </c>
      <c r="C17" s="61" t="s">
        <v>223</v>
      </c>
      <c r="D17" s="53">
        <v>46112</v>
      </c>
      <c r="E17" s="61" t="s">
        <v>285</v>
      </c>
      <c r="F17" s="61" t="s">
        <v>1330</v>
      </c>
      <c r="G17" s="78" t="s">
        <v>1331</v>
      </c>
      <c r="H17" s="62" t="s">
        <v>1332</v>
      </c>
      <c r="I17" s="61" t="s">
        <v>681</v>
      </c>
      <c r="J17" s="61" t="s">
        <v>281</v>
      </c>
      <c r="K17" s="61" t="s">
        <v>150</v>
      </c>
      <c r="L17" s="61"/>
      <c r="M17" s="61" t="s">
        <v>1276</v>
      </c>
      <c r="N17" s="61" t="s">
        <v>920</v>
      </c>
      <c r="O17" s="145" t="s">
        <v>215</v>
      </c>
      <c r="P17" s="146">
        <v>1</v>
      </c>
      <c r="Q17" s="140"/>
      <c r="R17" s="65"/>
      <c r="S17" s="65"/>
      <c r="T17" s="65"/>
      <c r="U17" s="65"/>
      <c r="V17" s="65"/>
      <c r="W17" s="147"/>
      <c r="X17" s="147"/>
      <c r="Y17" s="147"/>
      <c r="Z17" s="147"/>
      <c r="AA17" s="147"/>
      <c r="AB17" s="61" t="s">
        <v>1322</v>
      </c>
      <c r="AC17" s="61" t="s">
        <v>1288</v>
      </c>
      <c r="AD17" s="61" t="s">
        <v>1288</v>
      </c>
      <c r="AE17" s="61" t="s">
        <v>138</v>
      </c>
      <c r="AF17" s="62" t="s">
        <v>287</v>
      </c>
      <c r="AG17" s="61" t="s">
        <v>138</v>
      </c>
      <c r="AH17" s="61" t="s">
        <v>288</v>
      </c>
      <c r="AI17" s="63" t="s">
        <v>216</v>
      </c>
      <c r="AJ17" s="63" t="s">
        <v>289</v>
      </c>
      <c r="AK17" s="63" t="s">
        <v>438</v>
      </c>
      <c r="AL17" s="61" t="s">
        <v>150</v>
      </c>
      <c r="AM17" s="61" t="s">
        <v>150</v>
      </c>
      <c r="AN17" s="61" t="s">
        <v>150</v>
      </c>
      <c r="AO17" s="77" t="s">
        <v>138</v>
      </c>
      <c r="AP17" s="63" t="s">
        <v>842</v>
      </c>
      <c r="AQ17" s="61" t="s">
        <v>668</v>
      </c>
      <c r="AR17" s="61" t="s">
        <v>216</v>
      </c>
      <c r="AS17" s="61" t="s">
        <v>281</v>
      </c>
      <c r="AT17" s="61" t="s">
        <v>1324</v>
      </c>
      <c r="AU17" s="77" t="s">
        <v>1325</v>
      </c>
      <c r="AV17" s="141" t="s">
        <v>1333</v>
      </c>
      <c r="AW17" s="62"/>
      <c r="AX17" s="61" t="s">
        <v>132</v>
      </c>
      <c r="AY17" s="61" t="s">
        <v>1309</v>
      </c>
      <c r="AZ17" s="61" t="s">
        <v>776</v>
      </c>
      <c r="BA17" s="77" t="s">
        <v>1334</v>
      </c>
      <c r="BB17" s="64" t="s">
        <v>215</v>
      </c>
      <c r="BC17" s="61"/>
      <c r="BD17" s="61"/>
      <c r="BE17" s="142"/>
      <c r="BF17" s="61"/>
      <c r="BG17" s="61"/>
      <c r="BH17" s="144" t="s">
        <v>1327</v>
      </c>
      <c r="BI17" s="60"/>
      <c r="BJ17" s="65" t="s">
        <v>1278</v>
      </c>
      <c r="BK17" s="65"/>
      <c r="BL17" s="69" t="s">
        <v>1335</v>
      </c>
      <c r="BM17" s="66"/>
      <c r="BN17" s="66"/>
      <c r="BO17" s="60" t="s">
        <v>1336</v>
      </c>
      <c r="BP17" s="66"/>
      <c r="BQ17" s="66"/>
    </row>
    <row r="18" spans="1:69" ht="15.6" customHeight="1">
      <c r="A18" s="60">
        <v>2918</v>
      </c>
      <c r="B18" s="60" t="s">
        <v>291</v>
      </c>
      <c r="C18" s="61" t="s">
        <v>212</v>
      </c>
      <c r="D18" s="53">
        <v>46203</v>
      </c>
      <c r="E18" s="61" t="s">
        <v>291</v>
      </c>
      <c r="F18" s="61"/>
      <c r="G18" s="76" t="s">
        <v>803</v>
      </c>
      <c r="H18" s="62" t="s">
        <v>1337</v>
      </c>
      <c r="I18" s="79" t="s">
        <v>681</v>
      </c>
      <c r="J18" s="79"/>
      <c r="K18" s="79"/>
      <c r="L18" s="79"/>
      <c r="M18" s="61" t="s">
        <v>1276</v>
      </c>
      <c r="N18" s="61" t="s">
        <v>1338</v>
      </c>
      <c r="O18" s="145" t="s">
        <v>215</v>
      </c>
      <c r="P18" s="67">
        <v>1</v>
      </c>
      <c r="Q18" s="140"/>
      <c r="R18" s="65"/>
      <c r="S18" s="65"/>
      <c r="T18" s="65"/>
      <c r="U18" s="65"/>
      <c r="V18" s="65"/>
      <c r="W18" s="147"/>
      <c r="X18" s="147"/>
      <c r="Y18" s="147"/>
      <c r="Z18" s="147"/>
      <c r="AA18" s="147"/>
      <c r="AB18" s="61" t="s">
        <v>1279</v>
      </c>
      <c r="AC18" s="61" t="s">
        <v>1288</v>
      </c>
      <c r="AD18" s="61" t="s">
        <v>1288</v>
      </c>
      <c r="AE18" s="61" t="s">
        <v>138</v>
      </c>
      <c r="AF18" s="62" t="s">
        <v>293</v>
      </c>
      <c r="AG18" s="61" t="s">
        <v>150</v>
      </c>
      <c r="AH18" s="61" t="s">
        <v>291</v>
      </c>
      <c r="AI18" s="63" t="s">
        <v>217</v>
      </c>
      <c r="AJ18" s="63" t="s">
        <v>216</v>
      </c>
      <c r="AK18" s="63" t="s">
        <v>221</v>
      </c>
      <c r="AL18" s="61" t="s">
        <v>216</v>
      </c>
      <c r="AM18" s="61" t="s">
        <v>216</v>
      </c>
      <c r="AN18" s="61" t="s">
        <v>216</v>
      </c>
      <c r="AO18" s="61" t="s">
        <v>216</v>
      </c>
      <c r="AP18" s="63" t="s">
        <v>216</v>
      </c>
      <c r="AQ18" s="61" t="s">
        <v>668</v>
      </c>
      <c r="AR18" s="61" t="s">
        <v>216</v>
      </c>
      <c r="AS18" s="61" t="s">
        <v>281</v>
      </c>
      <c r="AT18" s="61" t="s">
        <v>1324</v>
      </c>
      <c r="AU18" s="61" t="s">
        <v>1339</v>
      </c>
      <c r="AV18" s="141" t="s">
        <v>1340</v>
      </c>
      <c r="AW18" s="62"/>
      <c r="AX18" s="61" t="s">
        <v>132</v>
      </c>
      <c r="AY18" s="61" t="s">
        <v>776</v>
      </c>
      <c r="AZ18" s="61" t="s">
        <v>776</v>
      </c>
      <c r="BA18" s="61" t="s">
        <v>776</v>
      </c>
      <c r="BB18" s="64" t="s">
        <v>215</v>
      </c>
      <c r="BC18" s="61"/>
      <c r="BD18" s="61"/>
      <c r="BE18" s="149"/>
      <c r="BF18" s="61"/>
      <c r="BG18" s="61"/>
      <c r="BH18" s="144"/>
      <c r="BI18" s="60"/>
      <c r="BJ18" s="65" t="s">
        <v>1278</v>
      </c>
      <c r="BK18" s="65" t="s">
        <v>215</v>
      </c>
      <c r="BL18" s="69" t="s">
        <v>1341</v>
      </c>
      <c r="BM18" s="66"/>
      <c r="BN18" s="66"/>
      <c r="BO18" s="66"/>
      <c r="BP18" s="66"/>
      <c r="BQ18" s="66"/>
    </row>
    <row r="19" spans="1:69" ht="15.6" customHeight="1">
      <c r="A19" s="60">
        <v>4245</v>
      </c>
      <c r="B19" s="60" t="s">
        <v>295</v>
      </c>
      <c r="C19" s="61" t="s">
        <v>223</v>
      </c>
      <c r="D19" s="53">
        <v>46387</v>
      </c>
      <c r="E19" s="61" t="s">
        <v>295</v>
      </c>
      <c r="F19" s="61" t="s">
        <v>281</v>
      </c>
      <c r="G19" s="61" t="s">
        <v>812</v>
      </c>
      <c r="H19" s="62" t="s">
        <v>1342</v>
      </c>
      <c r="I19" s="61" t="s">
        <v>681</v>
      </c>
      <c r="J19" s="61"/>
      <c r="K19" s="61"/>
      <c r="L19" s="61"/>
      <c r="M19" s="61" t="s">
        <v>1276</v>
      </c>
      <c r="N19" s="61" t="s">
        <v>1343</v>
      </c>
      <c r="O19" s="145" t="s">
        <v>215</v>
      </c>
      <c r="P19" s="67">
        <v>1</v>
      </c>
      <c r="Q19" s="140"/>
      <c r="R19" s="65"/>
      <c r="S19" s="65"/>
      <c r="T19" s="65"/>
      <c r="U19" s="65"/>
      <c r="V19" s="65"/>
      <c r="W19" s="147"/>
      <c r="X19" s="147"/>
      <c r="Y19" s="147"/>
      <c r="Z19" s="147"/>
      <c r="AA19" s="147"/>
      <c r="AB19" s="61" t="s">
        <v>1279</v>
      </c>
      <c r="AC19" s="61" t="s">
        <v>1280</v>
      </c>
      <c r="AD19" s="61" t="s">
        <v>1280</v>
      </c>
      <c r="AE19" s="61" t="s">
        <v>150</v>
      </c>
      <c r="AF19" s="62" t="s">
        <v>297</v>
      </c>
      <c r="AG19" s="61" t="s">
        <v>150</v>
      </c>
      <c r="AH19" s="61" t="s">
        <v>288</v>
      </c>
      <c r="AI19" s="63" t="s">
        <v>216</v>
      </c>
      <c r="AJ19" s="63" t="s">
        <v>216</v>
      </c>
      <c r="AK19" s="63" t="s">
        <v>438</v>
      </c>
      <c r="AL19" s="61" t="s">
        <v>138</v>
      </c>
      <c r="AM19" s="61" t="s">
        <v>150</v>
      </c>
      <c r="AN19" s="77" t="s">
        <v>138</v>
      </c>
      <c r="AO19" s="61" t="s">
        <v>150</v>
      </c>
      <c r="AP19" s="63" t="s">
        <v>216</v>
      </c>
      <c r="AQ19" s="61" t="s">
        <v>668</v>
      </c>
      <c r="AR19" s="61" t="s">
        <v>216</v>
      </c>
      <c r="AS19" s="61" t="s">
        <v>682</v>
      </c>
      <c r="AT19" s="61" t="s">
        <v>1282</v>
      </c>
      <c r="AU19" s="77" t="s">
        <v>805</v>
      </c>
      <c r="AV19" s="141" t="s">
        <v>1344</v>
      </c>
      <c r="AW19" s="62"/>
      <c r="AX19" s="61" t="s">
        <v>132</v>
      </c>
      <c r="AY19" s="61" t="s">
        <v>1345</v>
      </c>
      <c r="AZ19" s="61" t="s">
        <v>216</v>
      </c>
      <c r="BA19" s="61" t="s">
        <v>216</v>
      </c>
      <c r="BB19" s="64" t="s">
        <v>215</v>
      </c>
      <c r="BC19" s="61"/>
      <c r="BD19" s="61"/>
      <c r="BE19" s="143"/>
      <c r="BF19" s="61"/>
      <c r="BG19" s="61"/>
      <c r="BH19" s="144" t="s">
        <v>1285</v>
      </c>
      <c r="BI19" s="60"/>
      <c r="BJ19" s="65" t="s">
        <v>1278</v>
      </c>
      <c r="BK19" s="64"/>
      <c r="BL19" s="64"/>
      <c r="BM19" s="66"/>
      <c r="BN19" s="66"/>
      <c r="BO19" s="66"/>
      <c r="BP19" s="66"/>
      <c r="BQ19" s="66"/>
    </row>
    <row r="20" spans="1:69" ht="15.6" customHeight="1">
      <c r="A20" s="60">
        <v>4260</v>
      </c>
      <c r="B20" s="60" t="s">
        <v>299</v>
      </c>
      <c r="C20" s="61" t="s">
        <v>212</v>
      </c>
      <c r="D20" s="53">
        <v>46387</v>
      </c>
      <c r="E20" s="61" t="s">
        <v>299</v>
      </c>
      <c r="F20" s="61"/>
      <c r="G20" s="61" t="s">
        <v>1346</v>
      </c>
      <c r="H20" s="62" t="s">
        <v>1347</v>
      </c>
      <c r="I20" s="52" t="s">
        <v>651</v>
      </c>
      <c r="J20" s="61"/>
      <c r="K20" s="61" t="s">
        <v>150</v>
      </c>
      <c r="L20" s="61"/>
      <c r="M20" s="61" t="s">
        <v>1276</v>
      </c>
      <c r="N20" s="61" t="s">
        <v>814</v>
      </c>
      <c r="O20" s="145"/>
      <c r="P20" s="67">
        <v>1</v>
      </c>
      <c r="Q20" s="140"/>
      <c r="R20" s="65"/>
      <c r="S20" s="65"/>
      <c r="T20" s="65"/>
      <c r="U20" s="65"/>
      <c r="V20" s="65"/>
      <c r="W20" s="147"/>
      <c r="X20" s="147"/>
      <c r="Y20" s="147"/>
      <c r="Z20" s="147"/>
      <c r="AA20" s="147"/>
      <c r="AB20" s="61" t="s">
        <v>1279</v>
      </c>
      <c r="AC20" s="61" t="s">
        <v>1280</v>
      </c>
      <c r="AD20" s="61" t="s">
        <v>1280</v>
      </c>
      <c r="AE20" s="61" t="s">
        <v>138</v>
      </c>
      <c r="AF20" s="62" t="s">
        <v>301</v>
      </c>
      <c r="AG20" s="61" t="s">
        <v>150</v>
      </c>
      <c r="AH20" s="61"/>
      <c r="AI20" s="63" t="s">
        <v>216</v>
      </c>
      <c r="AJ20" s="63" t="s">
        <v>216</v>
      </c>
      <c r="AK20" s="63" t="s">
        <v>221</v>
      </c>
      <c r="AL20" s="61" t="s">
        <v>216</v>
      </c>
      <c r="AM20" s="61" t="s">
        <v>216</v>
      </c>
      <c r="AN20" s="61" t="s">
        <v>216</v>
      </c>
      <c r="AO20" s="61" t="s">
        <v>216</v>
      </c>
      <c r="AP20" s="63" t="s">
        <v>216</v>
      </c>
      <c r="AQ20" s="61" t="s">
        <v>668</v>
      </c>
      <c r="AR20" s="61" t="s">
        <v>649</v>
      </c>
      <c r="AS20" s="61" t="s">
        <v>1296</v>
      </c>
      <c r="AT20" s="61" t="s">
        <v>1297</v>
      </c>
      <c r="AU20" s="61"/>
      <c r="AV20" s="139" t="s">
        <v>1348</v>
      </c>
      <c r="AW20" s="62"/>
      <c r="AX20" s="61" t="s">
        <v>132</v>
      </c>
      <c r="AY20" s="61" t="s">
        <v>776</v>
      </c>
      <c r="AZ20" s="63" t="s">
        <v>776</v>
      </c>
      <c r="BA20" s="63" t="s">
        <v>776</v>
      </c>
      <c r="BB20" s="64">
        <v>45231</v>
      </c>
      <c r="BC20" s="61"/>
      <c r="BD20" s="61"/>
      <c r="BE20" s="143"/>
      <c r="BF20" s="61"/>
      <c r="BG20" s="61"/>
      <c r="BH20" s="144"/>
      <c r="BI20" s="60"/>
      <c r="BJ20" s="65" t="s">
        <v>1278</v>
      </c>
      <c r="BK20" s="65"/>
      <c r="BL20" s="65"/>
      <c r="BM20" s="66"/>
      <c r="BN20" s="66"/>
      <c r="BO20" s="66"/>
      <c r="BP20" s="66"/>
      <c r="BQ20" s="66"/>
    </row>
    <row r="21" spans="1:69" ht="15.6" customHeight="1">
      <c r="A21" s="60">
        <v>4261</v>
      </c>
      <c r="B21" s="60" t="s">
        <v>303</v>
      </c>
      <c r="C21" s="61" t="s">
        <v>212</v>
      </c>
      <c r="D21" s="53">
        <v>46387</v>
      </c>
      <c r="E21" s="61" t="s">
        <v>303</v>
      </c>
      <c r="F21" s="61"/>
      <c r="G21" s="61" t="s">
        <v>1349</v>
      </c>
      <c r="H21" s="62" t="s">
        <v>1350</v>
      </c>
      <c r="I21" s="52" t="s">
        <v>651</v>
      </c>
      <c r="J21" s="61"/>
      <c r="K21" s="63" t="s">
        <v>150</v>
      </c>
      <c r="L21" s="61"/>
      <c r="M21" s="61" t="s">
        <v>1276</v>
      </c>
      <c r="N21" s="61" t="s">
        <v>814</v>
      </c>
      <c r="O21" s="145"/>
      <c r="P21" s="67">
        <v>1</v>
      </c>
      <c r="Q21" s="140"/>
      <c r="R21" s="65"/>
      <c r="S21" s="65"/>
      <c r="T21" s="65"/>
      <c r="U21" s="65"/>
      <c r="V21" s="65"/>
      <c r="W21" s="147"/>
      <c r="X21" s="147"/>
      <c r="Y21" s="147"/>
      <c r="Z21" s="147"/>
      <c r="AA21" s="147"/>
      <c r="AB21" s="61" t="s">
        <v>1279</v>
      </c>
      <c r="AC21" s="61" t="s">
        <v>1280</v>
      </c>
      <c r="AD21" s="61" t="s">
        <v>1280</v>
      </c>
      <c r="AE21" s="61" t="s">
        <v>138</v>
      </c>
      <c r="AF21" s="75"/>
      <c r="AG21" s="63" t="s">
        <v>150</v>
      </c>
      <c r="AH21" s="61"/>
      <c r="AI21" s="63" t="s">
        <v>217</v>
      </c>
      <c r="AJ21" s="63" t="s">
        <v>216</v>
      </c>
      <c r="AK21" s="63" t="s">
        <v>816</v>
      </c>
      <c r="AL21" s="61"/>
      <c r="AM21" s="61"/>
      <c r="AN21" s="61"/>
      <c r="AO21" s="61"/>
      <c r="AP21" s="63" t="s">
        <v>216</v>
      </c>
      <c r="AQ21" s="61" t="s">
        <v>668</v>
      </c>
      <c r="AR21" s="61" t="s">
        <v>649</v>
      </c>
      <c r="AS21" s="61" t="s">
        <v>1296</v>
      </c>
      <c r="AT21" s="61" t="s">
        <v>1297</v>
      </c>
      <c r="AU21" s="61"/>
      <c r="AV21" s="150" t="s">
        <v>1351</v>
      </c>
      <c r="AW21" s="62"/>
      <c r="AX21" s="61" t="s">
        <v>132</v>
      </c>
      <c r="AY21" s="61" t="s">
        <v>1345</v>
      </c>
      <c r="AZ21" s="63" t="s">
        <v>216</v>
      </c>
      <c r="BA21" s="63" t="s">
        <v>216</v>
      </c>
      <c r="BB21" s="64">
        <v>45231</v>
      </c>
      <c r="BC21" s="61"/>
      <c r="BD21" s="61"/>
      <c r="BE21" s="143"/>
      <c r="BF21" s="61"/>
      <c r="BG21" s="61"/>
      <c r="BH21" s="144"/>
      <c r="BI21" s="60"/>
      <c r="BJ21" s="65" t="s">
        <v>1278</v>
      </c>
      <c r="BK21" s="65"/>
      <c r="BL21" s="65"/>
      <c r="BM21" s="66"/>
      <c r="BN21" s="66"/>
      <c r="BO21" s="66"/>
      <c r="BP21" s="66"/>
      <c r="BQ21" s="66"/>
    </row>
    <row r="22" spans="1:69" ht="15.6" customHeight="1">
      <c r="A22" s="66">
        <v>5281</v>
      </c>
      <c r="B22" s="80" t="s">
        <v>306</v>
      </c>
      <c r="C22" s="65" t="s">
        <v>223</v>
      </c>
      <c r="D22" s="81">
        <v>46478</v>
      </c>
      <c r="E22" s="64" t="s">
        <v>839</v>
      </c>
      <c r="F22" s="82" t="s">
        <v>840</v>
      </c>
      <c r="G22" s="64" t="s">
        <v>1352</v>
      </c>
      <c r="H22" s="83" t="s">
        <v>307</v>
      </c>
      <c r="I22" s="61" t="s">
        <v>681</v>
      </c>
      <c r="J22" s="61"/>
      <c r="K22" s="61" t="s">
        <v>138</v>
      </c>
      <c r="L22" s="61"/>
      <c r="M22" s="65" t="s">
        <v>1276</v>
      </c>
      <c r="N22" s="85" t="s">
        <v>655</v>
      </c>
      <c r="O22" s="82"/>
      <c r="P22" s="85">
        <v>1</v>
      </c>
      <c r="Q22" s="157" t="s">
        <v>1353</v>
      </c>
      <c r="R22" s="151" t="s">
        <v>1354</v>
      </c>
      <c r="S22" s="152">
        <v>26959</v>
      </c>
      <c r="T22" s="153">
        <v>29402.495586960118</v>
      </c>
      <c r="U22" s="158" t="s">
        <v>1279</v>
      </c>
      <c r="V22" s="158" t="s">
        <v>1280</v>
      </c>
      <c r="W22" s="155" t="s">
        <v>1279</v>
      </c>
      <c r="X22" s="155" t="s">
        <v>1280</v>
      </c>
      <c r="Y22" s="155" t="s">
        <v>1280</v>
      </c>
      <c r="Z22" s="156">
        <v>43600.581622092628</v>
      </c>
      <c r="AA22" s="147" t="s">
        <v>1355</v>
      </c>
      <c r="AB22" s="61" t="s">
        <v>1279</v>
      </c>
      <c r="AC22" s="61" t="s">
        <v>1280</v>
      </c>
      <c r="AD22" s="61" t="s">
        <v>1280</v>
      </c>
      <c r="AE22" s="61" t="s">
        <v>138</v>
      </c>
      <c r="AF22" s="62" t="s">
        <v>310</v>
      </c>
      <c r="AG22" s="61" t="s">
        <v>138</v>
      </c>
      <c r="AH22" s="159" t="s">
        <v>311</v>
      </c>
      <c r="AI22" s="63" t="s">
        <v>160</v>
      </c>
      <c r="AJ22" s="63" t="s">
        <v>312</v>
      </c>
      <c r="AK22" s="63" t="s">
        <v>9</v>
      </c>
      <c r="AL22" s="61" t="s">
        <v>150</v>
      </c>
      <c r="AM22" s="61" t="s">
        <v>138</v>
      </c>
      <c r="AN22" s="61" t="s">
        <v>150</v>
      </c>
      <c r="AO22" s="61" t="s">
        <v>150</v>
      </c>
      <c r="AP22" s="63" t="s">
        <v>842</v>
      </c>
      <c r="AQ22" s="61" t="s">
        <v>830</v>
      </c>
      <c r="AR22" s="159" t="s">
        <v>1356</v>
      </c>
      <c r="AS22" s="61" t="s">
        <v>1357</v>
      </c>
      <c r="AT22" s="61" t="s">
        <v>1282</v>
      </c>
      <c r="AU22" s="61" t="s">
        <v>819</v>
      </c>
      <c r="AV22" s="141" t="s">
        <v>1358</v>
      </c>
      <c r="AW22" s="62"/>
      <c r="AX22" s="61" t="s">
        <v>1359</v>
      </c>
      <c r="AY22" s="61"/>
      <c r="AZ22" s="63" t="s">
        <v>843</v>
      </c>
      <c r="BA22" s="63" t="s">
        <v>844</v>
      </c>
      <c r="BB22" s="64" t="s">
        <v>215</v>
      </c>
      <c r="BC22" s="61"/>
      <c r="BD22" s="61"/>
      <c r="BE22" s="149">
        <v>43600.581622092628</v>
      </c>
      <c r="BF22" s="61" t="s">
        <v>150</v>
      </c>
      <c r="BG22" s="61"/>
      <c r="BH22" s="144" t="s">
        <v>1285</v>
      </c>
      <c r="BI22" s="60"/>
      <c r="BJ22" s="65" t="s">
        <v>179</v>
      </c>
      <c r="BK22" s="65"/>
      <c r="BL22" s="65"/>
      <c r="BM22" s="66"/>
      <c r="BN22" s="66"/>
      <c r="BO22" s="66"/>
      <c r="BP22" s="66"/>
      <c r="BQ22" s="66"/>
    </row>
    <row r="23" spans="1:69" ht="15.6" customHeight="1">
      <c r="A23" s="66">
        <v>5282</v>
      </c>
      <c r="B23" s="80" t="s">
        <v>314</v>
      </c>
      <c r="C23" s="65" t="s">
        <v>223</v>
      </c>
      <c r="D23" s="81">
        <v>46478</v>
      </c>
      <c r="E23" s="64" t="s">
        <v>839</v>
      </c>
      <c r="F23" s="82" t="s">
        <v>840</v>
      </c>
      <c r="G23" s="64" t="s">
        <v>1352</v>
      </c>
      <c r="H23" s="83" t="s">
        <v>315</v>
      </c>
      <c r="I23" s="61" t="s">
        <v>681</v>
      </c>
      <c r="J23" s="61"/>
      <c r="K23" s="61"/>
      <c r="L23" s="61"/>
      <c r="M23" s="65" t="s">
        <v>1276</v>
      </c>
      <c r="N23" s="85" t="s">
        <v>655</v>
      </c>
      <c r="O23" s="82"/>
      <c r="P23" s="85">
        <v>1</v>
      </c>
      <c r="Q23" s="157" t="s">
        <v>1353</v>
      </c>
      <c r="R23" s="151" t="s">
        <v>1354</v>
      </c>
      <c r="S23" s="152">
        <v>0</v>
      </c>
      <c r="T23" s="153">
        <v>29402.495586960118</v>
      </c>
      <c r="U23" s="158" t="s">
        <v>1279</v>
      </c>
      <c r="V23" s="158" t="s">
        <v>1280</v>
      </c>
      <c r="W23" s="155" t="s">
        <v>1279</v>
      </c>
      <c r="X23" s="155" t="s">
        <v>1280</v>
      </c>
      <c r="Y23" s="155" t="s">
        <v>1280</v>
      </c>
      <c r="Z23" s="156">
        <v>43600.581622092628</v>
      </c>
      <c r="AA23" s="147" t="s">
        <v>1355</v>
      </c>
      <c r="AB23" s="61" t="s">
        <v>1279</v>
      </c>
      <c r="AC23" s="61" t="s">
        <v>1280</v>
      </c>
      <c r="AD23" s="61" t="s">
        <v>1280</v>
      </c>
      <c r="AE23" s="61" t="s">
        <v>150</v>
      </c>
      <c r="AF23" s="62" t="s">
        <v>216</v>
      </c>
      <c r="AG23" s="61" t="s">
        <v>216</v>
      </c>
      <c r="AH23" s="61" t="s">
        <v>316</v>
      </c>
      <c r="AI23" s="63" t="s">
        <v>216</v>
      </c>
      <c r="AJ23" s="63" t="s">
        <v>216</v>
      </c>
      <c r="AK23" s="63" t="s">
        <v>216</v>
      </c>
      <c r="AL23" s="63" t="s">
        <v>216</v>
      </c>
      <c r="AM23" s="63" t="s">
        <v>216</v>
      </c>
      <c r="AN23" s="63" t="s">
        <v>216</v>
      </c>
      <c r="AO23" s="63" t="s">
        <v>216</v>
      </c>
      <c r="AP23" s="63" t="s">
        <v>216</v>
      </c>
      <c r="AQ23" s="61" t="s">
        <v>830</v>
      </c>
      <c r="AR23" s="61" t="s">
        <v>853</v>
      </c>
      <c r="AS23" s="61" t="s">
        <v>1357</v>
      </c>
      <c r="AT23" s="61" t="s">
        <v>1282</v>
      </c>
      <c r="AU23" s="61" t="s">
        <v>847</v>
      </c>
      <c r="AV23" s="139" t="s">
        <v>1360</v>
      </c>
      <c r="AW23" s="62"/>
      <c r="AX23" s="61" t="s">
        <v>1359</v>
      </c>
      <c r="AY23" s="61"/>
      <c r="AZ23" s="63" t="s">
        <v>216</v>
      </c>
      <c r="BA23" s="63" t="s">
        <v>216</v>
      </c>
      <c r="BB23" s="64" t="s">
        <v>215</v>
      </c>
      <c r="BC23" s="61"/>
      <c r="BD23" s="61"/>
      <c r="BE23" s="149">
        <v>43600.581622092628</v>
      </c>
      <c r="BF23" s="61"/>
      <c r="BG23" s="61"/>
      <c r="BH23" s="144" t="s">
        <v>1285</v>
      </c>
      <c r="BI23" s="60"/>
      <c r="BJ23" s="65" t="s">
        <v>179</v>
      </c>
      <c r="BK23" s="65"/>
      <c r="BL23" s="65"/>
      <c r="BM23" s="66"/>
      <c r="BN23" s="66"/>
      <c r="BO23" s="66"/>
      <c r="BP23" s="66"/>
      <c r="BQ23" s="66"/>
    </row>
    <row r="24" spans="1:69" ht="15.6" customHeight="1">
      <c r="A24" s="66">
        <v>5283</v>
      </c>
      <c r="B24" s="80" t="s">
        <v>318</v>
      </c>
      <c r="C24" s="65" t="s">
        <v>223</v>
      </c>
      <c r="D24" s="81">
        <v>46478</v>
      </c>
      <c r="E24" s="64"/>
      <c r="F24" s="82" t="s">
        <v>866</v>
      </c>
      <c r="G24" s="64" t="s">
        <v>1361</v>
      </c>
      <c r="H24" s="83" t="s">
        <v>319</v>
      </c>
      <c r="I24" s="61" t="s">
        <v>681</v>
      </c>
      <c r="J24" s="61"/>
      <c r="K24" s="61" t="s">
        <v>138</v>
      </c>
      <c r="L24" s="61"/>
      <c r="M24" s="65" t="s">
        <v>1276</v>
      </c>
      <c r="N24" s="85" t="s">
        <v>655</v>
      </c>
      <c r="O24" s="82"/>
      <c r="P24" s="85">
        <v>1</v>
      </c>
      <c r="Q24" s="157" t="s">
        <v>1279</v>
      </c>
      <c r="R24" s="151" t="s">
        <v>1362</v>
      </c>
      <c r="S24" s="152">
        <v>242631</v>
      </c>
      <c r="T24" s="153">
        <v>147012.47793480058</v>
      </c>
      <c r="U24" s="158" t="s">
        <v>1279</v>
      </c>
      <c r="V24" s="158" t="s">
        <v>1288</v>
      </c>
      <c r="W24" s="155" t="s">
        <v>1363</v>
      </c>
      <c r="X24" s="155" t="s">
        <v>1363</v>
      </c>
      <c r="Y24" s="155" t="s">
        <v>1363</v>
      </c>
      <c r="Z24" s="156">
        <v>174402.32648837051</v>
      </c>
      <c r="AA24" s="147" t="s">
        <v>1355</v>
      </c>
      <c r="AB24" s="61" t="s">
        <v>1363</v>
      </c>
      <c r="AC24" s="61" t="s">
        <v>1363</v>
      </c>
      <c r="AD24" s="61" t="s">
        <v>1363</v>
      </c>
      <c r="AE24" s="61" t="s">
        <v>138</v>
      </c>
      <c r="AF24" s="62" t="s">
        <v>321</v>
      </c>
      <c r="AG24" s="61" t="s">
        <v>138</v>
      </c>
      <c r="AH24" s="61" t="s">
        <v>322</v>
      </c>
      <c r="AI24" s="63" t="s">
        <v>160</v>
      </c>
      <c r="AJ24" s="63" t="s">
        <v>323</v>
      </c>
      <c r="AK24" s="63" t="s">
        <v>320</v>
      </c>
      <c r="AL24" s="63"/>
      <c r="AM24" s="63"/>
      <c r="AN24" s="63"/>
      <c r="AO24" s="63"/>
      <c r="AP24" s="63" t="s">
        <v>842</v>
      </c>
      <c r="AQ24" s="61" t="s">
        <v>863</v>
      </c>
      <c r="AR24" s="61" t="s">
        <v>864</v>
      </c>
      <c r="AS24" s="61" t="s">
        <v>1364</v>
      </c>
      <c r="AT24" s="61" t="s">
        <v>1282</v>
      </c>
      <c r="AU24" s="61" t="s">
        <v>858</v>
      </c>
      <c r="AV24" s="141" t="s">
        <v>1365</v>
      </c>
      <c r="AW24" s="62"/>
      <c r="AX24" s="61" t="s">
        <v>1359</v>
      </c>
      <c r="AY24" s="61" t="s">
        <v>1345</v>
      </c>
      <c r="AZ24" s="63" t="s">
        <v>843</v>
      </c>
      <c r="BA24" s="63" t="s">
        <v>844</v>
      </c>
      <c r="BB24" s="64"/>
      <c r="BC24" s="61"/>
      <c r="BD24" s="61"/>
      <c r="BE24" s="149">
        <v>174402.32648837051</v>
      </c>
      <c r="BF24" s="61"/>
      <c r="BG24" s="61"/>
      <c r="BH24" s="144" t="s">
        <v>1285</v>
      </c>
      <c r="BI24" s="60"/>
      <c r="BJ24" s="65" t="s">
        <v>179</v>
      </c>
      <c r="BK24" s="65"/>
      <c r="BL24" s="65"/>
      <c r="BM24" s="66"/>
      <c r="BN24" s="66"/>
      <c r="BO24" s="66"/>
      <c r="BP24" s="66"/>
      <c r="BQ24" s="66"/>
    </row>
    <row r="25" spans="1:69" ht="15.6" customHeight="1">
      <c r="A25" s="66">
        <v>5285</v>
      </c>
      <c r="B25" s="80" t="s">
        <v>325</v>
      </c>
      <c r="C25" s="65" t="s">
        <v>223</v>
      </c>
      <c r="D25" s="81">
        <v>46478</v>
      </c>
      <c r="E25" s="64" t="s">
        <v>874</v>
      </c>
      <c r="F25" s="82"/>
      <c r="G25" s="64" t="s">
        <v>1366</v>
      </c>
      <c r="H25" s="83" t="s">
        <v>326</v>
      </c>
      <c r="I25" s="61" t="s">
        <v>681</v>
      </c>
      <c r="J25" s="61"/>
      <c r="K25" s="61"/>
      <c r="L25" s="61"/>
      <c r="M25" s="65" t="s">
        <v>1276</v>
      </c>
      <c r="N25" s="85" t="s">
        <v>655</v>
      </c>
      <c r="O25" s="82"/>
      <c r="P25" s="85">
        <v>1</v>
      </c>
      <c r="Q25" s="157" t="s">
        <v>1279</v>
      </c>
      <c r="R25" s="151" t="s">
        <v>1367</v>
      </c>
      <c r="S25" s="152">
        <v>26959</v>
      </c>
      <c r="T25" s="153">
        <v>29402.495586960118</v>
      </c>
      <c r="U25" s="158" t="s">
        <v>1279</v>
      </c>
      <c r="V25" s="158" t="s">
        <v>1280</v>
      </c>
      <c r="W25" s="155" t="s">
        <v>1279</v>
      </c>
      <c r="X25" s="155" t="s">
        <v>1280</v>
      </c>
      <c r="Y25" s="155" t="s">
        <v>1280</v>
      </c>
      <c r="Z25" s="156">
        <v>43600.581622092628</v>
      </c>
      <c r="AA25" s="147" t="s">
        <v>1355</v>
      </c>
      <c r="AB25" s="61" t="s">
        <v>1279</v>
      </c>
      <c r="AC25" s="61" t="s">
        <v>1280</v>
      </c>
      <c r="AD25" s="61" t="s">
        <v>1280</v>
      </c>
      <c r="AE25" s="61" t="s">
        <v>138</v>
      </c>
      <c r="AF25" s="62" t="s">
        <v>328</v>
      </c>
      <c r="AG25" s="63" t="s">
        <v>216</v>
      </c>
      <c r="AH25" s="61" t="s">
        <v>329</v>
      </c>
      <c r="AI25" s="63" t="s">
        <v>217</v>
      </c>
      <c r="AJ25" s="63" t="s">
        <v>173</v>
      </c>
      <c r="AK25" s="63" t="s">
        <v>438</v>
      </c>
      <c r="AL25" s="61" t="s">
        <v>150</v>
      </c>
      <c r="AM25" s="61" t="s">
        <v>150</v>
      </c>
      <c r="AN25" s="61" t="s">
        <v>150</v>
      </c>
      <c r="AO25" s="61" t="s">
        <v>216</v>
      </c>
      <c r="AP25" s="63" t="s">
        <v>216</v>
      </c>
      <c r="AQ25" s="61" t="s">
        <v>872</v>
      </c>
      <c r="AR25" s="61" t="s">
        <v>873</v>
      </c>
      <c r="AS25" s="61" t="s">
        <v>1368</v>
      </c>
      <c r="AT25" s="61" t="s">
        <v>1282</v>
      </c>
      <c r="AU25" s="61"/>
      <c r="AV25" s="141" t="s">
        <v>1369</v>
      </c>
      <c r="AW25" s="62"/>
      <c r="AX25" s="61" t="s">
        <v>1370</v>
      </c>
      <c r="AY25" s="61" t="s">
        <v>776</v>
      </c>
      <c r="AZ25" s="63" t="s">
        <v>776</v>
      </c>
      <c r="BA25" s="63" t="s">
        <v>776</v>
      </c>
      <c r="BB25" s="64">
        <v>45566</v>
      </c>
      <c r="BC25" s="61"/>
      <c r="BD25" s="61"/>
      <c r="BE25" s="149">
        <v>43600.581622092628</v>
      </c>
      <c r="BF25" s="61"/>
      <c r="BG25" s="61"/>
      <c r="BH25" s="144" t="s">
        <v>1285</v>
      </c>
      <c r="BI25" s="60"/>
      <c r="BJ25" s="65" t="s">
        <v>179</v>
      </c>
      <c r="BK25" s="65"/>
      <c r="BL25" s="65"/>
      <c r="BM25" s="66"/>
      <c r="BN25" s="66"/>
      <c r="BO25" s="66"/>
      <c r="BP25" s="66"/>
      <c r="BQ25" s="66"/>
    </row>
    <row r="26" spans="1:69" ht="15.6" customHeight="1">
      <c r="A26" s="66">
        <v>5290</v>
      </c>
      <c r="B26" s="80" t="s">
        <v>331</v>
      </c>
      <c r="C26" s="65" t="s">
        <v>223</v>
      </c>
      <c r="D26" s="81">
        <v>46478</v>
      </c>
      <c r="E26" s="64" t="s">
        <v>839</v>
      </c>
      <c r="F26" s="82" t="s">
        <v>840</v>
      </c>
      <c r="G26" s="84" t="s">
        <v>1371</v>
      </c>
      <c r="H26" s="83" t="s">
        <v>332</v>
      </c>
      <c r="I26" s="61" t="s">
        <v>681</v>
      </c>
      <c r="J26" s="61"/>
      <c r="K26" s="61" t="s">
        <v>138</v>
      </c>
      <c r="L26" s="61"/>
      <c r="M26" s="65" t="s">
        <v>1276</v>
      </c>
      <c r="N26" s="85" t="s">
        <v>655</v>
      </c>
      <c r="O26" s="82"/>
      <c r="P26" s="85">
        <v>1</v>
      </c>
      <c r="Q26" s="157" t="s">
        <v>1279</v>
      </c>
      <c r="R26" s="151" t="s">
        <v>1362</v>
      </c>
      <c r="S26" s="152">
        <v>26959</v>
      </c>
      <c r="T26" s="153">
        <v>117609.98234784047</v>
      </c>
      <c r="U26" s="158" t="s">
        <v>1303</v>
      </c>
      <c r="V26" s="158" t="s">
        <v>1372</v>
      </c>
      <c r="W26" s="155" t="s">
        <v>1303</v>
      </c>
      <c r="X26" s="155" t="s">
        <v>1372</v>
      </c>
      <c r="Y26" s="155" t="s">
        <v>1372</v>
      </c>
      <c r="Z26" s="156">
        <v>174402.32648837051</v>
      </c>
      <c r="AA26" s="147" t="s">
        <v>1355</v>
      </c>
      <c r="AB26" s="61" t="s">
        <v>1303</v>
      </c>
      <c r="AC26" s="61" t="s">
        <v>1372</v>
      </c>
      <c r="AD26" s="61" t="s">
        <v>1372</v>
      </c>
      <c r="AE26" s="61" t="s">
        <v>150</v>
      </c>
      <c r="AF26" s="62" t="s">
        <v>333</v>
      </c>
      <c r="AG26" s="61" t="s">
        <v>216</v>
      </c>
      <c r="AH26" s="61" t="s">
        <v>216</v>
      </c>
      <c r="AI26" s="63" t="s">
        <v>160</v>
      </c>
      <c r="AJ26" s="63" t="s">
        <v>312</v>
      </c>
      <c r="AK26" s="63" t="s">
        <v>9</v>
      </c>
      <c r="AL26" s="61" t="s">
        <v>216</v>
      </c>
      <c r="AM26" s="61" t="s">
        <v>216</v>
      </c>
      <c r="AN26" s="61" t="s">
        <v>216</v>
      </c>
      <c r="AO26" s="61" t="s">
        <v>216</v>
      </c>
      <c r="AP26" s="63" t="s">
        <v>842</v>
      </c>
      <c r="AQ26" s="61" t="s">
        <v>872</v>
      </c>
      <c r="AR26" s="61" t="s">
        <v>879</v>
      </c>
      <c r="AS26" s="61" t="s">
        <v>1357</v>
      </c>
      <c r="AT26" s="61" t="s">
        <v>1282</v>
      </c>
      <c r="AU26" s="61" t="s">
        <v>847</v>
      </c>
      <c r="AV26" s="141" t="s">
        <v>1373</v>
      </c>
      <c r="AW26" s="62" t="s">
        <v>332</v>
      </c>
      <c r="AX26" s="61" t="s">
        <v>1370</v>
      </c>
      <c r="AY26" s="61" t="s">
        <v>776</v>
      </c>
      <c r="AZ26" s="63" t="s">
        <v>843</v>
      </c>
      <c r="BA26" s="63" t="s">
        <v>844</v>
      </c>
      <c r="BB26" s="64">
        <v>45566</v>
      </c>
      <c r="BC26" s="61"/>
      <c r="BD26" s="61"/>
      <c r="BE26" s="149">
        <v>174402.32648837101</v>
      </c>
      <c r="BF26" s="61"/>
      <c r="BG26" s="61"/>
      <c r="BH26" s="144" t="s">
        <v>1285</v>
      </c>
      <c r="BI26" s="60"/>
      <c r="BJ26" s="65" t="s">
        <v>179</v>
      </c>
      <c r="BK26" s="65"/>
      <c r="BL26" s="65"/>
      <c r="BM26" s="66"/>
      <c r="BN26" s="66"/>
      <c r="BO26" s="66"/>
      <c r="BP26" s="66"/>
      <c r="BQ26" s="66"/>
    </row>
    <row r="27" spans="1:69" ht="15.6" customHeight="1">
      <c r="A27" s="66">
        <v>5296</v>
      </c>
      <c r="B27" s="80" t="s">
        <v>335</v>
      </c>
      <c r="C27" s="65" t="s">
        <v>223</v>
      </c>
      <c r="D27" s="81">
        <v>46478</v>
      </c>
      <c r="E27" s="64" t="s">
        <v>839</v>
      </c>
      <c r="F27" s="82" t="s">
        <v>840</v>
      </c>
      <c r="G27" s="84" t="s">
        <v>1374</v>
      </c>
      <c r="H27" s="83" t="s">
        <v>336</v>
      </c>
      <c r="I27" s="61" t="s">
        <v>681</v>
      </c>
      <c r="J27" s="61"/>
      <c r="K27" s="61" t="s">
        <v>138</v>
      </c>
      <c r="L27" s="61"/>
      <c r="M27" s="65" t="s">
        <v>1276</v>
      </c>
      <c r="N27" s="85" t="s">
        <v>655</v>
      </c>
      <c r="O27" s="82"/>
      <c r="P27" s="85">
        <v>1</v>
      </c>
      <c r="Q27" s="157" t="s">
        <v>1353</v>
      </c>
      <c r="R27" s="151" t="s">
        <v>1354</v>
      </c>
      <c r="S27" s="152">
        <v>188713</v>
      </c>
      <c r="T27" s="153">
        <v>176414.97352176072</v>
      </c>
      <c r="U27" s="158" t="s">
        <v>1279</v>
      </c>
      <c r="V27" s="158" t="s">
        <v>1288</v>
      </c>
      <c r="W27" s="155" t="s">
        <v>1279</v>
      </c>
      <c r="X27" s="155" t="s">
        <v>1288</v>
      </c>
      <c r="Y27" s="155" t="s">
        <v>1288</v>
      </c>
      <c r="Z27" s="156">
        <v>348804.65297674102</v>
      </c>
      <c r="AA27" s="147" t="s">
        <v>1355</v>
      </c>
      <c r="AB27" s="61" t="s">
        <v>1279</v>
      </c>
      <c r="AC27" s="61" t="s">
        <v>1288</v>
      </c>
      <c r="AD27" s="61" t="s">
        <v>1288</v>
      </c>
      <c r="AE27" s="61" t="s">
        <v>138</v>
      </c>
      <c r="AF27" s="62" t="s">
        <v>338</v>
      </c>
      <c r="AG27" s="61" t="s">
        <v>138</v>
      </c>
      <c r="AH27" s="61" t="s">
        <v>316</v>
      </c>
      <c r="AI27" s="63" t="s">
        <v>160</v>
      </c>
      <c r="AJ27" s="63" t="s">
        <v>312</v>
      </c>
      <c r="AK27" s="63" t="s">
        <v>9</v>
      </c>
      <c r="AL27" s="61" t="s">
        <v>150</v>
      </c>
      <c r="AM27" s="61" t="s">
        <v>138</v>
      </c>
      <c r="AN27" s="61" t="s">
        <v>150</v>
      </c>
      <c r="AO27" s="61" t="s">
        <v>138</v>
      </c>
      <c r="AP27" s="63" t="s">
        <v>842</v>
      </c>
      <c r="AQ27" s="61" t="s">
        <v>830</v>
      </c>
      <c r="AR27" s="61" t="s">
        <v>885</v>
      </c>
      <c r="AS27" s="61" t="s">
        <v>1375</v>
      </c>
      <c r="AT27" s="61" t="s">
        <v>1282</v>
      </c>
      <c r="AU27" s="61" t="s">
        <v>881</v>
      </c>
      <c r="AV27" s="141" t="s">
        <v>1376</v>
      </c>
      <c r="AW27" s="62"/>
      <c r="AX27" s="61" t="s">
        <v>1370</v>
      </c>
      <c r="AY27" s="61" t="s">
        <v>1377</v>
      </c>
      <c r="AZ27" s="63" t="s">
        <v>843</v>
      </c>
      <c r="BA27" s="63" t="s">
        <v>844</v>
      </c>
      <c r="BB27" s="64" t="s">
        <v>215</v>
      </c>
      <c r="BC27" s="61"/>
      <c r="BD27" s="61"/>
      <c r="BE27" s="149">
        <v>348804.65297674102</v>
      </c>
      <c r="BF27" s="61"/>
      <c r="BG27" s="61"/>
      <c r="BH27" s="144" t="s">
        <v>1285</v>
      </c>
      <c r="BI27" s="60"/>
      <c r="BJ27" s="65" t="s">
        <v>179</v>
      </c>
      <c r="BK27" s="65"/>
      <c r="BL27" s="65"/>
      <c r="BM27" s="66"/>
      <c r="BN27" s="66"/>
      <c r="BO27" s="66"/>
      <c r="BP27" s="66"/>
      <c r="BQ27" s="66"/>
    </row>
    <row r="28" spans="1:69" ht="15.6" customHeight="1">
      <c r="A28" s="66">
        <v>5306</v>
      </c>
      <c r="B28" s="80" t="s">
        <v>1378</v>
      </c>
      <c r="C28" s="65" t="s">
        <v>223</v>
      </c>
      <c r="D28" s="53">
        <v>46478</v>
      </c>
      <c r="E28" s="64" t="s">
        <v>874</v>
      </c>
      <c r="F28" s="82"/>
      <c r="G28" s="84" t="s">
        <v>1379</v>
      </c>
      <c r="H28" s="83" t="s">
        <v>1380</v>
      </c>
      <c r="I28" s="61" t="s">
        <v>681</v>
      </c>
      <c r="J28" s="61"/>
      <c r="K28" s="61" t="s">
        <v>138</v>
      </c>
      <c r="L28" s="61"/>
      <c r="M28" s="65" t="s">
        <v>1276</v>
      </c>
      <c r="N28" s="85" t="s">
        <v>655</v>
      </c>
      <c r="O28" s="64">
        <v>46478</v>
      </c>
      <c r="P28" s="85">
        <v>1</v>
      </c>
      <c r="Q28" s="157" t="s">
        <v>1279</v>
      </c>
      <c r="R28" s="151" t="s">
        <v>1381</v>
      </c>
      <c r="S28" s="152">
        <v>107836</v>
      </c>
      <c r="T28" s="153">
        <v>117609.98234784047</v>
      </c>
      <c r="U28" s="158" t="s">
        <v>1279</v>
      </c>
      <c r="V28" s="158" t="s">
        <v>1382</v>
      </c>
      <c r="W28" s="155" t="s">
        <v>1279</v>
      </c>
      <c r="X28" s="155" t="s">
        <v>1382</v>
      </c>
      <c r="Y28" s="155" t="s">
        <v>1382</v>
      </c>
      <c r="Z28" s="156">
        <v>174402.32648837051</v>
      </c>
      <c r="AA28" s="147" t="s">
        <v>1383</v>
      </c>
      <c r="AB28" s="61" t="s">
        <v>1279</v>
      </c>
      <c r="AC28" s="61" t="s">
        <v>1382</v>
      </c>
      <c r="AD28" s="61" t="s">
        <v>1382</v>
      </c>
      <c r="AE28" s="61" t="s">
        <v>138</v>
      </c>
      <c r="AF28" s="62" t="s">
        <v>343</v>
      </c>
      <c r="AG28" s="61" t="s">
        <v>138</v>
      </c>
      <c r="AH28" s="61" t="s">
        <v>340</v>
      </c>
      <c r="AI28" s="63" t="s">
        <v>160</v>
      </c>
      <c r="AJ28" s="63" t="s">
        <v>344</v>
      </c>
      <c r="AK28" s="63" t="s">
        <v>221</v>
      </c>
      <c r="AL28" s="61" t="s">
        <v>138</v>
      </c>
      <c r="AM28" s="61" t="s">
        <v>138</v>
      </c>
      <c r="AN28" s="61" t="s">
        <v>138</v>
      </c>
      <c r="AO28" s="61" t="s">
        <v>138</v>
      </c>
      <c r="AP28" s="63" t="s">
        <v>899</v>
      </c>
      <c r="AQ28" s="61" t="s">
        <v>897</v>
      </c>
      <c r="AR28" s="61"/>
      <c r="AS28" s="61" t="s">
        <v>1384</v>
      </c>
      <c r="AT28" s="61" t="s">
        <v>1282</v>
      </c>
      <c r="AU28" s="61" t="s">
        <v>1385</v>
      </c>
      <c r="AV28" s="141" t="s">
        <v>1386</v>
      </c>
      <c r="AW28" s="62"/>
      <c r="AX28" s="61" t="s">
        <v>1387</v>
      </c>
      <c r="AY28" s="61" t="s">
        <v>157</v>
      </c>
      <c r="AZ28" s="63" t="s">
        <v>699</v>
      </c>
      <c r="BA28" s="63" t="s">
        <v>700</v>
      </c>
      <c r="BB28" s="61" t="s">
        <v>215</v>
      </c>
      <c r="BC28" s="61">
        <v>1012681</v>
      </c>
      <c r="BD28" s="61"/>
      <c r="BE28" s="149">
        <v>174402.32648837051</v>
      </c>
      <c r="BF28" s="61" t="s">
        <v>1388</v>
      </c>
      <c r="BG28" s="61" t="s">
        <v>327</v>
      </c>
      <c r="BH28" s="139" t="s">
        <v>1389</v>
      </c>
      <c r="BI28" s="61"/>
      <c r="BJ28" s="65" t="s">
        <v>179</v>
      </c>
      <c r="BK28" s="82" t="s">
        <v>215</v>
      </c>
      <c r="BL28" s="82"/>
      <c r="BM28" s="66"/>
      <c r="BN28" s="66"/>
      <c r="BO28" s="66"/>
      <c r="BP28" s="66"/>
      <c r="BQ28" s="66"/>
    </row>
    <row r="29" spans="1:69" ht="15.6" customHeight="1">
      <c r="A29" s="66">
        <v>5307</v>
      </c>
      <c r="B29" s="80" t="s">
        <v>346</v>
      </c>
      <c r="C29" s="65" t="s">
        <v>223</v>
      </c>
      <c r="D29" s="53">
        <v>46478</v>
      </c>
      <c r="E29" s="64" t="s">
        <v>874</v>
      </c>
      <c r="F29" s="82"/>
      <c r="G29" s="64" t="s">
        <v>1390</v>
      </c>
      <c r="H29" s="83" t="s">
        <v>1391</v>
      </c>
      <c r="I29" s="85" t="s">
        <v>681</v>
      </c>
      <c r="J29" s="85"/>
      <c r="K29" s="85" t="s">
        <v>138</v>
      </c>
      <c r="L29" s="85"/>
      <c r="M29" s="65" t="s">
        <v>1276</v>
      </c>
      <c r="N29" s="85" t="s">
        <v>655</v>
      </c>
      <c r="O29" s="82">
        <v>46478</v>
      </c>
      <c r="P29" s="85">
        <v>1</v>
      </c>
      <c r="Q29" s="157" t="s">
        <v>1392</v>
      </c>
      <c r="R29" s="151" t="s">
        <v>1392</v>
      </c>
      <c r="S29" s="152">
        <v>0</v>
      </c>
      <c r="T29" s="153">
        <v>0</v>
      </c>
      <c r="U29" s="154" t="s">
        <v>1392</v>
      </c>
      <c r="V29" s="154" t="s">
        <v>1392</v>
      </c>
      <c r="W29" s="155" t="s">
        <v>1392</v>
      </c>
      <c r="X29" s="155" t="s">
        <v>1392</v>
      </c>
      <c r="Y29" s="155" t="s">
        <v>1392</v>
      </c>
      <c r="Z29" s="156">
        <v>0</v>
      </c>
      <c r="AA29" s="147" t="s">
        <v>1393</v>
      </c>
      <c r="AB29" s="61" t="s">
        <v>1392</v>
      </c>
      <c r="AC29" s="61" t="s">
        <v>1392</v>
      </c>
      <c r="AD29" s="61" t="s">
        <v>1392</v>
      </c>
      <c r="AE29" s="61" t="s">
        <v>138</v>
      </c>
      <c r="AF29" s="62" t="s">
        <v>348</v>
      </c>
      <c r="AG29" s="61" t="s">
        <v>138</v>
      </c>
      <c r="AH29" s="61" t="s">
        <v>346</v>
      </c>
      <c r="AI29" s="63" t="s">
        <v>160</v>
      </c>
      <c r="AJ29" s="63" t="s">
        <v>349</v>
      </c>
      <c r="AK29" s="63" t="s">
        <v>221</v>
      </c>
      <c r="AL29" s="61" t="s">
        <v>138</v>
      </c>
      <c r="AM29" s="61" t="s">
        <v>138</v>
      </c>
      <c r="AN29" s="61" t="s">
        <v>138</v>
      </c>
      <c r="AO29" s="61" t="s">
        <v>138</v>
      </c>
      <c r="AP29" s="63" t="s">
        <v>791</v>
      </c>
      <c r="AQ29" s="61" t="s">
        <v>897</v>
      </c>
      <c r="AR29" s="61" t="s">
        <v>901</v>
      </c>
      <c r="AS29" s="61" t="s">
        <v>1384</v>
      </c>
      <c r="AT29" s="61" t="s">
        <v>1282</v>
      </c>
      <c r="AU29" s="61" t="s">
        <v>869</v>
      </c>
      <c r="AV29" s="141"/>
      <c r="AW29" s="62"/>
      <c r="AX29" s="61" t="s">
        <v>1359</v>
      </c>
      <c r="AY29" s="61" t="s">
        <v>157</v>
      </c>
      <c r="AZ29" s="63" t="s">
        <v>903</v>
      </c>
      <c r="BA29" s="63" t="s">
        <v>904</v>
      </c>
      <c r="BB29" s="61" t="s">
        <v>215</v>
      </c>
      <c r="BC29" s="61"/>
      <c r="BD29" s="61"/>
      <c r="BE29" s="143"/>
      <c r="BF29" s="61" t="s">
        <v>150</v>
      </c>
      <c r="BG29" s="61" t="s">
        <v>327</v>
      </c>
      <c r="BH29" s="162" t="s">
        <v>1285</v>
      </c>
      <c r="BI29" s="61"/>
      <c r="BJ29" s="65" t="s">
        <v>179</v>
      </c>
      <c r="BK29" s="65" t="s">
        <v>215</v>
      </c>
      <c r="BL29" s="65"/>
      <c r="BM29" s="66"/>
      <c r="BN29" s="66"/>
      <c r="BO29" s="66"/>
      <c r="BP29" s="66"/>
      <c r="BQ29" s="66"/>
    </row>
    <row r="30" spans="1:69" ht="15.6" customHeight="1">
      <c r="A30" s="66">
        <v>5308</v>
      </c>
      <c r="B30" s="80" t="s">
        <v>351</v>
      </c>
      <c r="C30" s="65" t="s">
        <v>223</v>
      </c>
      <c r="D30" s="81">
        <v>46478</v>
      </c>
      <c r="E30" s="64" t="s">
        <v>874</v>
      </c>
      <c r="F30" s="82"/>
      <c r="G30" s="64" t="s">
        <v>697</v>
      </c>
      <c r="H30" s="83" t="s">
        <v>1394</v>
      </c>
      <c r="I30" s="65" t="s">
        <v>681</v>
      </c>
      <c r="J30" s="65"/>
      <c r="K30" s="65"/>
      <c r="L30" s="65"/>
      <c r="M30" s="65" t="s">
        <v>1276</v>
      </c>
      <c r="N30" s="85" t="s">
        <v>906</v>
      </c>
      <c r="O30" s="82" t="s">
        <v>215</v>
      </c>
      <c r="P30" s="85">
        <v>1</v>
      </c>
      <c r="Q30" s="157" t="s">
        <v>1279</v>
      </c>
      <c r="R30" s="151" t="s">
        <v>1367</v>
      </c>
      <c r="S30" s="152">
        <v>26959</v>
      </c>
      <c r="T30" s="153">
        <v>29402.495586960118</v>
      </c>
      <c r="U30" s="158" t="s">
        <v>1279</v>
      </c>
      <c r="V30" s="158" t="s">
        <v>1280</v>
      </c>
      <c r="W30" s="155" t="s">
        <v>1279</v>
      </c>
      <c r="X30" s="155" t="s">
        <v>1280</v>
      </c>
      <c r="Y30" s="155" t="s">
        <v>1280</v>
      </c>
      <c r="Z30" s="156">
        <v>43600.581622092628</v>
      </c>
      <c r="AA30" s="147" t="s">
        <v>1355</v>
      </c>
      <c r="AB30" s="61" t="s">
        <v>1279</v>
      </c>
      <c r="AC30" s="61" t="s">
        <v>1280</v>
      </c>
      <c r="AD30" s="61" t="s">
        <v>1280</v>
      </c>
      <c r="AE30" s="61" t="s">
        <v>138</v>
      </c>
      <c r="AF30" s="62" t="s">
        <v>354</v>
      </c>
      <c r="AG30" s="61" t="s">
        <v>150</v>
      </c>
      <c r="AH30" s="61" t="s">
        <v>1395</v>
      </c>
      <c r="AI30" s="63" t="s">
        <v>217</v>
      </c>
      <c r="AJ30" s="63" t="s">
        <v>216</v>
      </c>
      <c r="AK30" s="63" t="s">
        <v>438</v>
      </c>
      <c r="AL30" s="63" t="s">
        <v>216</v>
      </c>
      <c r="AM30" s="63" t="s">
        <v>216</v>
      </c>
      <c r="AN30" s="63" t="s">
        <v>216</v>
      </c>
      <c r="AO30" s="63" t="s">
        <v>216</v>
      </c>
      <c r="AP30" s="63" t="s">
        <v>216</v>
      </c>
      <c r="AQ30" s="61" t="s">
        <v>863</v>
      </c>
      <c r="AR30" s="61" t="s">
        <v>771</v>
      </c>
      <c r="AS30" s="61" t="s">
        <v>1396</v>
      </c>
      <c r="AT30" s="65"/>
      <c r="AU30" s="61" t="s">
        <v>905</v>
      </c>
      <c r="AV30" s="161" t="s">
        <v>1397</v>
      </c>
      <c r="AW30" s="62"/>
      <c r="AX30" s="61" t="s">
        <v>1359</v>
      </c>
      <c r="AY30" s="61" t="s">
        <v>776</v>
      </c>
      <c r="AZ30" s="63" t="s">
        <v>776</v>
      </c>
      <c r="BA30" s="63" t="s">
        <v>776</v>
      </c>
      <c r="BB30" s="64">
        <v>45231</v>
      </c>
      <c r="BC30" s="61"/>
      <c r="BD30" s="61"/>
      <c r="BE30" s="142">
        <v>43600</v>
      </c>
      <c r="BF30" s="85"/>
      <c r="BG30" s="85"/>
      <c r="BH30" s="163" t="s">
        <v>1398</v>
      </c>
      <c r="BI30" s="60"/>
      <c r="BJ30" s="65" t="s">
        <v>179</v>
      </c>
      <c r="BK30" s="82">
        <v>45016</v>
      </c>
      <c r="BL30" s="82"/>
      <c r="BM30" s="66"/>
      <c r="BN30" s="66"/>
      <c r="BO30" s="66"/>
      <c r="BP30" s="66"/>
      <c r="BQ30" s="66"/>
    </row>
    <row r="31" spans="1:69" ht="15.6" customHeight="1">
      <c r="A31" s="66">
        <v>5309</v>
      </c>
      <c r="B31" s="80" t="s">
        <v>357</v>
      </c>
      <c r="C31" s="65" t="s">
        <v>212</v>
      </c>
      <c r="D31" s="81">
        <v>46478</v>
      </c>
      <c r="E31" s="64" t="s">
        <v>874</v>
      </c>
      <c r="F31" s="82"/>
      <c r="G31" s="64" t="s">
        <v>697</v>
      </c>
      <c r="H31" s="83" t="s">
        <v>358</v>
      </c>
      <c r="I31" s="61" t="s">
        <v>681</v>
      </c>
      <c r="J31" s="61"/>
      <c r="K31" s="61"/>
      <c r="L31" s="61"/>
      <c r="M31" s="65" t="s">
        <v>1276</v>
      </c>
      <c r="N31" s="85" t="s">
        <v>655</v>
      </c>
      <c r="O31" s="82"/>
      <c r="P31" s="85">
        <v>1</v>
      </c>
      <c r="Q31" s="157" t="s">
        <v>1279</v>
      </c>
      <c r="R31" s="151" t="s">
        <v>1367</v>
      </c>
      <c r="S31" s="152">
        <v>188713</v>
      </c>
      <c r="T31" s="153">
        <v>176414.97352176072</v>
      </c>
      <c r="U31" s="158" t="s">
        <v>1279</v>
      </c>
      <c r="V31" s="158" t="s">
        <v>1288</v>
      </c>
      <c r="W31" s="155" t="s">
        <v>1279</v>
      </c>
      <c r="X31" s="155" t="s">
        <v>1288</v>
      </c>
      <c r="Y31" s="155" t="s">
        <v>1288</v>
      </c>
      <c r="Z31" s="156">
        <v>348804.65297674102</v>
      </c>
      <c r="AA31" s="147" t="s">
        <v>1355</v>
      </c>
      <c r="AB31" s="61" t="s">
        <v>1279</v>
      </c>
      <c r="AC31" s="61" t="s">
        <v>1288</v>
      </c>
      <c r="AD31" s="61" t="s">
        <v>1288</v>
      </c>
      <c r="AE31" s="61" t="s">
        <v>150</v>
      </c>
      <c r="AF31" s="62" t="s">
        <v>359</v>
      </c>
      <c r="AG31" s="61" t="s">
        <v>150</v>
      </c>
      <c r="AH31" s="61" t="s">
        <v>216</v>
      </c>
      <c r="AI31" s="63" t="s">
        <v>216</v>
      </c>
      <c r="AJ31" s="63" t="s">
        <v>216</v>
      </c>
      <c r="AK31" s="63" t="s">
        <v>438</v>
      </c>
      <c r="AL31" s="63" t="s">
        <v>216</v>
      </c>
      <c r="AM31" s="63" t="s">
        <v>216</v>
      </c>
      <c r="AN31" s="63" t="s">
        <v>216</v>
      </c>
      <c r="AO31" s="63" t="s">
        <v>216</v>
      </c>
      <c r="AP31" s="63" t="s">
        <v>216</v>
      </c>
      <c r="AQ31" s="61" t="s">
        <v>863</v>
      </c>
      <c r="AR31" s="61" t="s">
        <v>1399</v>
      </c>
      <c r="AS31" s="61" t="s">
        <v>1400</v>
      </c>
      <c r="AT31" s="61"/>
      <c r="AU31" s="61"/>
      <c r="AV31" s="144" t="s">
        <v>1401</v>
      </c>
      <c r="AW31" s="62"/>
      <c r="AX31" s="61" t="s">
        <v>1359</v>
      </c>
      <c r="AY31" s="61" t="s">
        <v>776</v>
      </c>
      <c r="AZ31" s="63" t="s">
        <v>216</v>
      </c>
      <c r="BA31" s="63" t="s">
        <v>216</v>
      </c>
      <c r="BB31" s="64">
        <v>45231</v>
      </c>
      <c r="BC31" s="61"/>
      <c r="BD31" s="61"/>
      <c r="BE31" s="142">
        <v>348804</v>
      </c>
      <c r="BF31" s="61"/>
      <c r="BG31" s="61"/>
      <c r="BH31" s="144"/>
      <c r="BI31" s="61"/>
      <c r="BJ31" s="65" t="s">
        <v>179</v>
      </c>
      <c r="BK31" s="65"/>
      <c r="BL31" s="65"/>
      <c r="BM31" s="66"/>
      <c r="BN31" s="66"/>
      <c r="BO31" s="66"/>
      <c r="BP31" s="66"/>
      <c r="BQ31" s="66"/>
    </row>
    <row r="32" spans="1:69" ht="15.6" customHeight="1">
      <c r="A32" s="66">
        <v>5385</v>
      </c>
      <c r="B32" s="80" t="s">
        <v>1402</v>
      </c>
      <c r="C32" s="65" t="s">
        <v>212</v>
      </c>
      <c r="D32" s="53">
        <v>46387</v>
      </c>
      <c r="E32" s="67" t="s">
        <v>925</v>
      </c>
      <c r="F32" s="85" t="s">
        <v>439</v>
      </c>
      <c r="G32" s="86" t="s">
        <v>1403</v>
      </c>
      <c r="H32" s="83" t="s">
        <v>362</v>
      </c>
      <c r="I32" s="61" t="s">
        <v>681</v>
      </c>
      <c r="J32" s="61"/>
      <c r="K32" s="61" t="s">
        <v>138</v>
      </c>
      <c r="L32" s="61"/>
      <c r="M32" s="65" t="s">
        <v>1276</v>
      </c>
      <c r="N32" s="85" t="s">
        <v>920</v>
      </c>
      <c r="O32" s="82">
        <v>46157</v>
      </c>
      <c r="P32" s="85">
        <v>1</v>
      </c>
      <c r="Q32" s="157" t="s">
        <v>1279</v>
      </c>
      <c r="R32" s="151" t="s">
        <v>1367</v>
      </c>
      <c r="S32" s="152">
        <v>0</v>
      </c>
      <c r="T32" s="153"/>
      <c r="U32" s="158" t="s">
        <v>1363</v>
      </c>
      <c r="V32" s="158" t="s">
        <v>1363</v>
      </c>
      <c r="W32" s="155" t="s">
        <v>1279</v>
      </c>
      <c r="X32" s="155" t="s">
        <v>1280</v>
      </c>
      <c r="Y32" s="155" t="s">
        <v>1280</v>
      </c>
      <c r="Z32" s="156">
        <v>28921.591408133576</v>
      </c>
      <c r="AA32" s="147" t="s">
        <v>1404</v>
      </c>
      <c r="AB32" s="61" t="s">
        <v>1279</v>
      </c>
      <c r="AC32" s="61" t="s">
        <v>1280</v>
      </c>
      <c r="AD32" s="61" t="s">
        <v>1280</v>
      </c>
      <c r="AE32" s="61" t="s">
        <v>138</v>
      </c>
      <c r="AF32" s="62" t="s">
        <v>364</v>
      </c>
      <c r="AG32" s="61" t="s">
        <v>138</v>
      </c>
      <c r="AH32" s="61" t="s">
        <v>365</v>
      </c>
      <c r="AI32" s="87" t="s">
        <v>160</v>
      </c>
      <c r="AJ32" s="88" t="s">
        <v>366</v>
      </c>
      <c r="AK32" s="63" t="s">
        <v>816</v>
      </c>
      <c r="AL32" s="61" t="s">
        <v>150</v>
      </c>
      <c r="AM32" s="61" t="s">
        <v>150</v>
      </c>
      <c r="AN32" s="61" t="s">
        <v>150</v>
      </c>
      <c r="AO32" s="61" t="s">
        <v>150</v>
      </c>
      <c r="AP32" s="89" t="s">
        <v>842</v>
      </c>
      <c r="AQ32" s="61" t="s">
        <v>863</v>
      </c>
      <c r="AR32" s="61" t="s">
        <v>923</v>
      </c>
      <c r="AS32" s="61" t="s">
        <v>1405</v>
      </c>
      <c r="AT32" s="61" t="s">
        <v>1282</v>
      </c>
      <c r="AU32" s="61" t="s">
        <v>919</v>
      </c>
      <c r="AV32" s="141" t="s">
        <v>1406</v>
      </c>
      <c r="AW32" s="62"/>
      <c r="AX32" s="61" t="s">
        <v>1359</v>
      </c>
      <c r="AY32" s="61" t="s">
        <v>1309</v>
      </c>
      <c r="AZ32" s="77" t="s">
        <v>843</v>
      </c>
      <c r="BA32" s="77" t="s">
        <v>844</v>
      </c>
      <c r="BB32" s="64">
        <v>45231</v>
      </c>
      <c r="BC32" s="61"/>
      <c r="BD32" s="61"/>
      <c r="BE32" s="149">
        <v>28921.591408133576</v>
      </c>
      <c r="BF32" s="61" t="s">
        <v>150</v>
      </c>
      <c r="BG32" s="61"/>
      <c r="BH32" s="144"/>
      <c r="BI32" s="60"/>
      <c r="BJ32" s="65" t="s">
        <v>179</v>
      </c>
      <c r="BK32" s="65"/>
      <c r="BL32" s="65"/>
      <c r="BM32" s="66"/>
      <c r="BN32" s="66"/>
      <c r="BO32" s="66"/>
      <c r="BP32" s="66"/>
      <c r="BQ32" s="66"/>
    </row>
    <row r="33" spans="1:69" ht="15.6" customHeight="1">
      <c r="A33" s="66">
        <v>5390</v>
      </c>
      <c r="B33" s="80" t="s">
        <v>368</v>
      </c>
      <c r="C33" s="65" t="s">
        <v>212</v>
      </c>
      <c r="D33" s="53">
        <v>46387</v>
      </c>
      <c r="E33" s="90" t="s">
        <v>382</v>
      </c>
      <c r="F33" s="85" t="s">
        <v>933</v>
      </c>
      <c r="G33" s="85"/>
      <c r="H33" s="83" t="s">
        <v>369</v>
      </c>
      <c r="I33" s="61" t="s">
        <v>681</v>
      </c>
      <c r="J33" s="61"/>
      <c r="K33" s="61"/>
      <c r="L33" s="61"/>
      <c r="M33" s="65" t="s">
        <v>1276</v>
      </c>
      <c r="N33" s="85" t="s">
        <v>655</v>
      </c>
      <c r="O33" s="64">
        <v>46234</v>
      </c>
      <c r="P33" s="85">
        <v>1</v>
      </c>
      <c r="Q33" s="157" t="s">
        <v>1279</v>
      </c>
      <c r="R33" s="151" t="s">
        <v>1367</v>
      </c>
      <c r="S33" s="152">
        <v>183958</v>
      </c>
      <c r="T33" s="153"/>
      <c r="U33" s="158" t="s">
        <v>1363</v>
      </c>
      <c r="V33" s="158" t="s">
        <v>1363</v>
      </c>
      <c r="W33" s="155" t="s">
        <v>1279</v>
      </c>
      <c r="X33" s="155" t="s">
        <v>1280</v>
      </c>
      <c r="Y33" s="155" t="s">
        <v>1280</v>
      </c>
      <c r="Z33" s="156">
        <v>151087.95704066788</v>
      </c>
      <c r="AA33" s="147" t="s">
        <v>1404</v>
      </c>
      <c r="AB33" s="61" t="s">
        <v>1279</v>
      </c>
      <c r="AC33" s="61" t="s">
        <v>1280</v>
      </c>
      <c r="AD33" s="61" t="s">
        <v>1280</v>
      </c>
      <c r="AE33" s="61" t="s">
        <v>138</v>
      </c>
      <c r="AF33" s="62" t="s">
        <v>371</v>
      </c>
      <c r="AG33" s="61" t="s">
        <v>150</v>
      </c>
      <c r="AH33" s="61" t="s">
        <v>372</v>
      </c>
      <c r="AI33" s="91" t="s">
        <v>217</v>
      </c>
      <c r="AJ33" s="63" t="s">
        <v>216</v>
      </c>
      <c r="AK33" s="63" t="s">
        <v>438</v>
      </c>
      <c r="AL33" s="63" t="s">
        <v>216</v>
      </c>
      <c r="AM33" s="63" t="s">
        <v>216</v>
      </c>
      <c r="AN33" s="63" t="s">
        <v>216</v>
      </c>
      <c r="AO33" s="63" t="s">
        <v>216</v>
      </c>
      <c r="AP33" s="63" t="s">
        <v>216</v>
      </c>
      <c r="AQ33" s="61" t="s">
        <v>863</v>
      </c>
      <c r="AR33" s="61" t="s">
        <v>931</v>
      </c>
      <c r="AS33" s="61" t="s">
        <v>928</v>
      </c>
      <c r="AT33" s="61" t="s">
        <v>1407</v>
      </c>
      <c r="AU33" s="61" t="s">
        <v>927</v>
      </c>
      <c r="AV33" s="141"/>
      <c r="AW33" s="164" t="s">
        <v>1408</v>
      </c>
      <c r="AX33" s="61" t="s">
        <v>1359</v>
      </c>
      <c r="AY33" s="61" t="s">
        <v>776</v>
      </c>
      <c r="AZ33" s="63" t="s">
        <v>776</v>
      </c>
      <c r="BA33" s="63" t="s">
        <v>776</v>
      </c>
      <c r="BB33" s="64" t="s">
        <v>215</v>
      </c>
      <c r="BC33" s="61"/>
      <c r="BD33" s="61"/>
      <c r="BE33" s="142">
        <v>151087</v>
      </c>
      <c r="BF33" s="61" t="s">
        <v>150</v>
      </c>
      <c r="BG33" s="65" t="s">
        <v>1409</v>
      </c>
      <c r="BH33" s="163" t="s">
        <v>1398</v>
      </c>
      <c r="BI33" s="62"/>
      <c r="BJ33" s="65" t="s">
        <v>179</v>
      </c>
      <c r="BK33" s="65" t="s">
        <v>215</v>
      </c>
      <c r="BL33" s="65"/>
      <c r="BM33" s="66"/>
      <c r="BN33" s="66"/>
      <c r="BO33" s="66"/>
      <c r="BP33" s="66"/>
      <c r="BQ33" s="66"/>
    </row>
    <row r="34" spans="1:69" ht="15.6" customHeight="1">
      <c r="A34" s="66">
        <v>5408</v>
      </c>
      <c r="B34" s="80" t="s">
        <v>374</v>
      </c>
      <c r="C34" s="61" t="s">
        <v>223</v>
      </c>
      <c r="D34" s="53">
        <v>46203</v>
      </c>
      <c r="E34" s="90" t="s">
        <v>374</v>
      </c>
      <c r="F34" s="90" t="s">
        <v>928</v>
      </c>
      <c r="G34" s="90" t="s">
        <v>1410</v>
      </c>
      <c r="H34" s="83" t="s">
        <v>1411</v>
      </c>
      <c r="I34" s="61" t="s">
        <v>681</v>
      </c>
      <c r="J34" s="61"/>
      <c r="K34" s="61"/>
      <c r="L34" s="61"/>
      <c r="M34" s="65" t="s">
        <v>1276</v>
      </c>
      <c r="N34" s="85" t="s">
        <v>814</v>
      </c>
      <c r="O34" s="64">
        <v>46112</v>
      </c>
      <c r="P34" s="85">
        <v>1</v>
      </c>
      <c r="Q34" s="157" t="s">
        <v>1279</v>
      </c>
      <c r="R34" s="151" t="s">
        <v>1367</v>
      </c>
      <c r="S34" s="152">
        <v>551875</v>
      </c>
      <c r="T34" s="153"/>
      <c r="U34" s="158" t="s">
        <v>1363</v>
      </c>
      <c r="V34" s="158" t="s">
        <v>1363</v>
      </c>
      <c r="W34" s="155" t="s">
        <v>1279</v>
      </c>
      <c r="X34" s="155" t="s">
        <v>1280</v>
      </c>
      <c r="Y34" s="155" t="s">
        <v>1280</v>
      </c>
      <c r="Z34" s="156">
        <v>285792.73126506858</v>
      </c>
      <c r="AA34" s="147" t="s">
        <v>1404</v>
      </c>
      <c r="AB34" s="61" t="s">
        <v>1279</v>
      </c>
      <c r="AC34" s="61" t="s">
        <v>1280</v>
      </c>
      <c r="AD34" s="61" t="s">
        <v>1280</v>
      </c>
      <c r="AE34" s="61" t="s">
        <v>138</v>
      </c>
      <c r="AF34" s="62" t="s">
        <v>376</v>
      </c>
      <c r="AG34" s="61" t="s">
        <v>150</v>
      </c>
      <c r="AH34" s="61" t="s">
        <v>372</v>
      </c>
      <c r="AI34" s="91" t="s">
        <v>217</v>
      </c>
      <c r="AJ34" s="63" t="s">
        <v>216</v>
      </c>
      <c r="AK34" s="91" t="s">
        <v>438</v>
      </c>
      <c r="AL34" s="63" t="s">
        <v>216</v>
      </c>
      <c r="AM34" s="63" t="s">
        <v>216</v>
      </c>
      <c r="AN34" s="63" t="s">
        <v>216</v>
      </c>
      <c r="AO34" s="63" t="s">
        <v>216</v>
      </c>
      <c r="AP34" s="63" t="s">
        <v>216</v>
      </c>
      <c r="AQ34" s="61" t="s">
        <v>863</v>
      </c>
      <c r="AR34" s="61" t="s">
        <v>937</v>
      </c>
      <c r="AS34" s="61" t="s">
        <v>928</v>
      </c>
      <c r="AT34" s="61" t="s">
        <v>1407</v>
      </c>
      <c r="AU34" s="77" t="s">
        <v>934</v>
      </c>
      <c r="AV34" s="141"/>
      <c r="AW34" s="164" t="s">
        <v>1412</v>
      </c>
      <c r="AX34" s="61" t="s">
        <v>1359</v>
      </c>
      <c r="AY34" s="61" t="s">
        <v>776</v>
      </c>
      <c r="AZ34" s="63" t="s">
        <v>776</v>
      </c>
      <c r="BA34" s="63" t="s">
        <v>776</v>
      </c>
      <c r="BB34" s="64"/>
      <c r="BC34" s="61"/>
      <c r="BD34" s="61"/>
      <c r="BE34" s="142">
        <v>285792</v>
      </c>
      <c r="BF34" s="61" t="s">
        <v>150</v>
      </c>
      <c r="BG34" s="61" t="s">
        <v>337</v>
      </c>
      <c r="BH34" s="163" t="s">
        <v>1398</v>
      </c>
      <c r="BI34" s="60"/>
      <c r="BJ34" s="65" t="s">
        <v>179</v>
      </c>
      <c r="BK34" s="82" t="s">
        <v>215</v>
      </c>
      <c r="BL34" s="92" t="s">
        <v>1413</v>
      </c>
      <c r="BM34" s="66"/>
      <c r="BN34" s="60" t="s">
        <v>1414</v>
      </c>
      <c r="BO34" s="66" t="s">
        <v>1415</v>
      </c>
      <c r="BP34" s="66" t="s">
        <v>216</v>
      </c>
      <c r="BQ34" s="93" t="s">
        <v>1416</v>
      </c>
    </row>
    <row r="35" spans="1:69" ht="15.6" customHeight="1">
      <c r="A35" s="66">
        <v>5413</v>
      </c>
      <c r="B35" s="80" t="s">
        <v>378</v>
      </c>
      <c r="C35" s="61" t="s">
        <v>212</v>
      </c>
      <c r="D35" s="53">
        <v>46387</v>
      </c>
      <c r="E35" s="67" t="s">
        <v>925</v>
      </c>
      <c r="F35" s="85" t="s">
        <v>439</v>
      </c>
      <c r="G35" s="94" t="s">
        <v>946</v>
      </c>
      <c r="H35" s="83" t="s">
        <v>379</v>
      </c>
      <c r="I35" s="61" t="s">
        <v>681</v>
      </c>
      <c r="J35" s="61"/>
      <c r="K35" s="61" t="s">
        <v>138</v>
      </c>
      <c r="L35" s="61"/>
      <c r="M35" s="65" t="s">
        <v>1276</v>
      </c>
      <c r="N35" s="85" t="s">
        <v>655</v>
      </c>
      <c r="O35" s="82">
        <v>46157</v>
      </c>
      <c r="P35" s="85">
        <v>1</v>
      </c>
      <c r="Q35" s="157" t="s">
        <v>1279</v>
      </c>
      <c r="R35" s="151" t="s">
        <v>1367</v>
      </c>
      <c r="S35" s="152">
        <v>551875</v>
      </c>
      <c r="T35" s="153"/>
      <c r="U35" s="158" t="s">
        <v>1363</v>
      </c>
      <c r="V35" s="158" t="s">
        <v>1363</v>
      </c>
      <c r="W35" s="155" t="s">
        <v>1279</v>
      </c>
      <c r="X35" s="155" t="s">
        <v>1280</v>
      </c>
      <c r="Y35" s="155" t="s">
        <v>1280</v>
      </c>
      <c r="Z35" s="156">
        <v>531282.2625301372</v>
      </c>
      <c r="AA35" s="147" t="s">
        <v>1404</v>
      </c>
      <c r="AB35" s="61" t="s">
        <v>1279</v>
      </c>
      <c r="AC35" s="61" t="s">
        <v>1280</v>
      </c>
      <c r="AD35" s="61" t="s">
        <v>1280</v>
      </c>
      <c r="AE35" s="61" t="s">
        <v>138</v>
      </c>
      <c r="AF35" s="62" t="s">
        <v>380</v>
      </c>
      <c r="AG35" s="61" t="s">
        <v>150</v>
      </c>
      <c r="AH35" s="61" t="s">
        <v>365</v>
      </c>
      <c r="AI35" s="87" t="s">
        <v>160</v>
      </c>
      <c r="AJ35" s="88" t="s">
        <v>366</v>
      </c>
      <c r="AK35" s="63" t="s">
        <v>816</v>
      </c>
      <c r="AL35" s="61" t="s">
        <v>150</v>
      </c>
      <c r="AM35" s="61" t="s">
        <v>138</v>
      </c>
      <c r="AN35" s="61" t="s">
        <v>150</v>
      </c>
      <c r="AO35" s="61" t="s">
        <v>150</v>
      </c>
      <c r="AP35" s="77" t="s">
        <v>842</v>
      </c>
      <c r="AQ35" s="61" t="s">
        <v>863</v>
      </c>
      <c r="AR35" s="61" t="s">
        <v>944</v>
      </c>
      <c r="AS35" s="61" t="s">
        <v>1417</v>
      </c>
      <c r="AT35" s="61" t="s">
        <v>1282</v>
      </c>
      <c r="AU35" s="61" t="s">
        <v>919</v>
      </c>
      <c r="AV35" s="161" t="s">
        <v>1418</v>
      </c>
      <c r="AW35" s="62"/>
      <c r="AX35" s="61" t="s">
        <v>1359</v>
      </c>
      <c r="AY35" s="61" t="s">
        <v>1309</v>
      </c>
      <c r="AZ35" s="77" t="s">
        <v>843</v>
      </c>
      <c r="BA35" s="77" t="s">
        <v>844</v>
      </c>
      <c r="BB35" s="64" t="s">
        <v>216</v>
      </c>
      <c r="BC35" s="61"/>
      <c r="BD35" s="61"/>
      <c r="BE35" s="149">
        <v>531282.2625301372</v>
      </c>
      <c r="BF35" s="90" t="s">
        <v>1419</v>
      </c>
      <c r="BG35" s="61" t="s">
        <v>1420</v>
      </c>
      <c r="BH35" s="161"/>
      <c r="BI35" s="86"/>
      <c r="BJ35" s="65" t="s">
        <v>179</v>
      </c>
      <c r="BK35" s="65" t="s">
        <v>215</v>
      </c>
      <c r="BL35" s="65"/>
      <c r="BM35" s="66"/>
      <c r="BN35" s="66"/>
      <c r="BO35" s="66"/>
      <c r="BP35" s="66"/>
      <c r="BQ35" s="66"/>
    </row>
    <row r="36" spans="1:69" ht="15.6" customHeight="1">
      <c r="A36" s="66">
        <v>5415</v>
      </c>
      <c r="B36" s="80" t="s">
        <v>382</v>
      </c>
      <c r="C36" s="61" t="s">
        <v>212</v>
      </c>
      <c r="D36" s="53">
        <v>46387</v>
      </c>
      <c r="E36" s="90" t="s">
        <v>382</v>
      </c>
      <c r="F36" s="85" t="s">
        <v>933</v>
      </c>
      <c r="G36" s="95" t="s">
        <v>1421</v>
      </c>
      <c r="H36" s="83" t="s">
        <v>383</v>
      </c>
      <c r="I36" s="61" t="s">
        <v>681</v>
      </c>
      <c r="J36" s="61"/>
      <c r="K36" s="61" t="s">
        <v>138</v>
      </c>
      <c r="L36" s="61"/>
      <c r="M36" s="65" t="s">
        <v>1276</v>
      </c>
      <c r="N36" s="85" t="s">
        <v>949</v>
      </c>
      <c r="O36" s="82">
        <v>46234</v>
      </c>
      <c r="P36" s="85">
        <v>1</v>
      </c>
      <c r="Q36" s="157" t="s">
        <v>1353</v>
      </c>
      <c r="R36" s="151" t="s">
        <v>1422</v>
      </c>
      <c r="S36" s="152">
        <v>153403</v>
      </c>
      <c r="T36" s="153"/>
      <c r="U36" s="158" t="s">
        <v>1363</v>
      </c>
      <c r="V36" s="158" t="s">
        <v>1363</v>
      </c>
      <c r="W36" s="155" t="s">
        <v>1279</v>
      </c>
      <c r="X36" s="155" t="s">
        <v>1280</v>
      </c>
      <c r="Y36" s="155" t="s">
        <v>1280</v>
      </c>
      <c r="Z36" s="156">
        <v>126129.29955860048</v>
      </c>
      <c r="AA36" s="147" t="s">
        <v>1423</v>
      </c>
      <c r="AB36" s="61" t="s">
        <v>1279</v>
      </c>
      <c r="AC36" s="61" t="s">
        <v>1280</v>
      </c>
      <c r="AD36" s="61" t="s">
        <v>1280</v>
      </c>
      <c r="AE36" s="61" t="s">
        <v>138</v>
      </c>
      <c r="AF36" s="62" t="s">
        <v>385</v>
      </c>
      <c r="AG36" s="61" t="s">
        <v>138</v>
      </c>
      <c r="AH36" s="65" t="s">
        <v>386</v>
      </c>
      <c r="AI36" s="63" t="s">
        <v>160</v>
      </c>
      <c r="AJ36" s="63" t="s">
        <v>387</v>
      </c>
      <c r="AK36" s="63" t="s">
        <v>221</v>
      </c>
      <c r="AL36" s="61" t="s">
        <v>150</v>
      </c>
      <c r="AM36" s="61" t="s">
        <v>150</v>
      </c>
      <c r="AN36" s="61" t="s">
        <v>150</v>
      </c>
      <c r="AO36" s="61" t="s">
        <v>138</v>
      </c>
      <c r="AP36" s="63" t="s">
        <v>842</v>
      </c>
      <c r="AQ36" s="61" t="s">
        <v>863</v>
      </c>
      <c r="AR36" s="61" t="s">
        <v>957</v>
      </c>
      <c r="AS36" s="65" t="s">
        <v>1424</v>
      </c>
      <c r="AT36" s="65" t="s">
        <v>1282</v>
      </c>
      <c r="AU36" s="61" t="s">
        <v>947</v>
      </c>
      <c r="AV36" s="144" t="s">
        <v>1425</v>
      </c>
      <c r="AW36" s="62"/>
      <c r="AX36" s="61" t="s">
        <v>1359</v>
      </c>
      <c r="AY36" s="61" t="s">
        <v>1345</v>
      </c>
      <c r="AZ36" s="63" t="s">
        <v>843</v>
      </c>
      <c r="BA36" s="63" t="s">
        <v>844</v>
      </c>
      <c r="BB36" s="64" t="s">
        <v>215</v>
      </c>
      <c r="BC36" s="61"/>
      <c r="BD36" s="61"/>
      <c r="BE36" s="149">
        <v>126129</v>
      </c>
      <c r="BF36" s="65" t="s">
        <v>1426</v>
      </c>
      <c r="BG36" s="61" t="s">
        <v>1420</v>
      </c>
      <c r="BH36" s="165" t="s">
        <v>1427</v>
      </c>
      <c r="BI36" s="65"/>
      <c r="BJ36" s="65" t="s">
        <v>179</v>
      </c>
      <c r="BK36" s="65" t="s">
        <v>215</v>
      </c>
      <c r="BL36" s="65"/>
      <c r="BM36" s="66"/>
      <c r="BN36" s="66"/>
      <c r="BO36" s="66"/>
      <c r="BP36" s="66"/>
      <c r="BQ36" s="66"/>
    </row>
    <row r="37" spans="1:69" ht="15.6" customHeight="1">
      <c r="A37" s="66">
        <v>5426</v>
      </c>
      <c r="B37" s="96" t="s">
        <v>389</v>
      </c>
      <c r="C37" s="65" t="s">
        <v>223</v>
      </c>
      <c r="D37" s="81">
        <v>46478</v>
      </c>
      <c r="E37" s="64" t="s">
        <v>839</v>
      </c>
      <c r="F37" s="82"/>
      <c r="G37" s="64" t="s">
        <v>1428</v>
      </c>
      <c r="H37" s="83" t="s">
        <v>1429</v>
      </c>
      <c r="I37" s="61" t="s">
        <v>681</v>
      </c>
      <c r="J37" s="61"/>
      <c r="K37" s="61"/>
      <c r="L37" s="61"/>
      <c r="M37" s="65" t="s">
        <v>1276</v>
      </c>
      <c r="N37" s="85" t="s">
        <v>906</v>
      </c>
      <c r="O37" s="82">
        <v>46478</v>
      </c>
      <c r="P37" s="85">
        <v>1</v>
      </c>
      <c r="Q37" s="157" t="s">
        <v>1353</v>
      </c>
      <c r="R37" s="151" t="s">
        <v>1422</v>
      </c>
      <c r="S37" s="152">
        <v>361643</v>
      </c>
      <c r="T37" s="153"/>
      <c r="U37" s="158" t="s">
        <v>1363</v>
      </c>
      <c r="V37" s="158" t="s">
        <v>1363</v>
      </c>
      <c r="W37" s="155" t="s">
        <v>1279</v>
      </c>
      <c r="X37" s="155" t="s">
        <v>1288</v>
      </c>
      <c r="Y37" s="155" t="s">
        <v>1288</v>
      </c>
      <c r="Z37" s="156">
        <v>66626.285316685869</v>
      </c>
      <c r="AA37" s="147">
        <v>300841001</v>
      </c>
      <c r="AB37" s="61" t="s">
        <v>1279</v>
      </c>
      <c r="AC37" s="61" t="s">
        <v>1288</v>
      </c>
      <c r="AD37" s="61" t="s">
        <v>1288</v>
      </c>
      <c r="AE37" s="65" t="s">
        <v>138</v>
      </c>
      <c r="AF37" s="62" t="s">
        <v>392</v>
      </c>
      <c r="AG37" s="65" t="s">
        <v>150</v>
      </c>
      <c r="AH37" s="65" t="s">
        <v>393</v>
      </c>
      <c r="AI37" s="91" t="s">
        <v>217</v>
      </c>
      <c r="AJ37" s="63" t="s">
        <v>216</v>
      </c>
      <c r="AK37" s="63" t="s">
        <v>438</v>
      </c>
      <c r="AL37" s="61" t="s">
        <v>138</v>
      </c>
      <c r="AM37" s="61" t="s">
        <v>150</v>
      </c>
      <c r="AN37" s="61" t="s">
        <v>138</v>
      </c>
      <c r="AO37" s="61" t="s">
        <v>150</v>
      </c>
      <c r="AP37" s="63" t="s">
        <v>216</v>
      </c>
      <c r="AQ37" s="61" t="s">
        <v>967</v>
      </c>
      <c r="AR37" s="61" t="s">
        <v>968</v>
      </c>
      <c r="AS37" s="61" t="s">
        <v>1430</v>
      </c>
      <c r="AT37" s="65" t="s">
        <v>1282</v>
      </c>
      <c r="AU37" s="61" t="s">
        <v>960</v>
      </c>
      <c r="AV37" s="144"/>
      <c r="AW37" s="62"/>
      <c r="AX37" s="61" t="s">
        <v>1359</v>
      </c>
      <c r="AY37" s="61" t="s">
        <v>1345</v>
      </c>
      <c r="AZ37" s="63" t="s">
        <v>776</v>
      </c>
      <c r="BA37" s="63" t="s">
        <v>776</v>
      </c>
      <c r="BB37" s="64" t="s">
        <v>215</v>
      </c>
      <c r="BC37" s="61">
        <v>1012036</v>
      </c>
      <c r="BD37" s="61"/>
      <c r="BE37" s="149">
        <v>66626</v>
      </c>
      <c r="BF37" s="65" t="s">
        <v>150</v>
      </c>
      <c r="BG37" s="65" t="s">
        <v>1431</v>
      </c>
      <c r="BH37" s="165"/>
      <c r="BI37" s="65"/>
      <c r="BJ37" s="65" t="s">
        <v>179</v>
      </c>
      <c r="BK37" s="65" t="s">
        <v>215</v>
      </c>
      <c r="BL37" s="65"/>
      <c r="BM37" s="66"/>
      <c r="BN37" s="66"/>
      <c r="BO37" s="66"/>
      <c r="BP37" s="66"/>
      <c r="BQ37" s="66"/>
    </row>
    <row r="38" spans="1:69" ht="15.6" customHeight="1">
      <c r="A38" s="66">
        <v>5427</v>
      </c>
      <c r="B38" s="80" t="s">
        <v>395</v>
      </c>
      <c r="C38" s="61" t="s">
        <v>223</v>
      </c>
      <c r="D38" s="53">
        <v>46295</v>
      </c>
      <c r="E38" s="64" t="s">
        <v>984</v>
      </c>
      <c r="F38" s="64" t="s">
        <v>985</v>
      </c>
      <c r="G38" s="241" t="s">
        <v>986</v>
      </c>
      <c r="H38" s="83" t="s">
        <v>1432</v>
      </c>
      <c r="I38" s="61" t="s">
        <v>681</v>
      </c>
      <c r="J38" s="61" t="s">
        <v>1433</v>
      </c>
      <c r="K38" s="61"/>
      <c r="L38" s="61" t="s">
        <v>138</v>
      </c>
      <c r="M38" s="65" t="s">
        <v>1276</v>
      </c>
      <c r="N38" s="85" t="s">
        <v>655</v>
      </c>
      <c r="O38" s="82">
        <v>46478</v>
      </c>
      <c r="P38" s="85">
        <v>1</v>
      </c>
      <c r="Q38" s="157" t="s">
        <v>1353</v>
      </c>
      <c r="R38" s="151" t="s">
        <v>1434</v>
      </c>
      <c r="S38" s="152">
        <v>183958</v>
      </c>
      <c r="T38" s="153"/>
      <c r="U38" s="158" t="s">
        <v>1279</v>
      </c>
      <c r="V38" s="158" t="s">
        <v>1288</v>
      </c>
      <c r="W38" s="155" t="s">
        <v>1363</v>
      </c>
      <c r="X38" s="155" t="s">
        <v>1363</v>
      </c>
      <c r="Y38" s="155" t="s">
        <v>1363</v>
      </c>
      <c r="Z38" s="156">
        <v>231255.04165547548</v>
      </c>
      <c r="AA38" s="147" t="s">
        <v>1393</v>
      </c>
      <c r="AB38" s="61" t="s">
        <v>1363</v>
      </c>
      <c r="AC38" s="61" t="s">
        <v>1363</v>
      </c>
      <c r="AD38" s="61" t="s">
        <v>1363</v>
      </c>
      <c r="AE38" s="61" t="s">
        <v>138</v>
      </c>
      <c r="AF38" s="62" t="s">
        <v>397</v>
      </c>
      <c r="AG38" s="61" t="s">
        <v>150</v>
      </c>
      <c r="AH38" s="61" t="s">
        <v>1435</v>
      </c>
      <c r="AI38" s="91" t="s">
        <v>217</v>
      </c>
      <c r="AJ38" s="63" t="s">
        <v>216</v>
      </c>
      <c r="AK38" s="63" t="s">
        <v>973</v>
      </c>
      <c r="AL38" s="63" t="s">
        <v>216</v>
      </c>
      <c r="AM38" s="63" t="s">
        <v>216</v>
      </c>
      <c r="AN38" s="63" t="s">
        <v>398</v>
      </c>
      <c r="AO38" s="63" t="s">
        <v>216</v>
      </c>
      <c r="AP38" s="63" t="s">
        <v>216</v>
      </c>
      <c r="AQ38" s="61" t="s">
        <v>976</v>
      </c>
      <c r="AR38" s="90" t="s">
        <v>977</v>
      </c>
      <c r="AS38" s="61" t="s">
        <v>1433</v>
      </c>
      <c r="AT38" s="61" t="s">
        <v>1282</v>
      </c>
      <c r="AU38" s="61" t="s">
        <v>971</v>
      </c>
      <c r="AV38" s="141" t="s">
        <v>1436</v>
      </c>
      <c r="AW38" s="62" t="s">
        <v>1437</v>
      </c>
      <c r="AX38" s="61" t="s">
        <v>1438</v>
      </c>
      <c r="AY38" s="61" t="s">
        <v>776</v>
      </c>
      <c r="AZ38" s="63" t="s">
        <v>776</v>
      </c>
      <c r="BA38" s="63" t="s">
        <v>776</v>
      </c>
      <c r="BB38" s="52" t="s">
        <v>216</v>
      </c>
      <c r="BC38" s="61">
        <v>1012025</v>
      </c>
      <c r="BD38" s="61" t="s">
        <v>983</v>
      </c>
      <c r="BE38" s="142">
        <v>231255</v>
      </c>
      <c r="BF38" s="61" t="s">
        <v>1439</v>
      </c>
      <c r="BG38" s="97" t="s">
        <v>1440</v>
      </c>
      <c r="BH38" s="162" t="s">
        <v>1398</v>
      </c>
      <c r="BI38" s="61"/>
      <c r="BJ38" s="65" t="s">
        <v>179</v>
      </c>
      <c r="BK38" s="65" t="s">
        <v>215</v>
      </c>
      <c r="BL38" s="69" t="s">
        <v>1441</v>
      </c>
      <c r="BM38" s="98" t="s">
        <v>1442</v>
      </c>
      <c r="BN38" s="99" t="s">
        <v>1443</v>
      </c>
      <c r="BO38" s="60" t="s">
        <v>1444</v>
      </c>
      <c r="BP38" s="60" t="s">
        <v>1445</v>
      </c>
      <c r="BQ38" s="60" t="s">
        <v>1446</v>
      </c>
    </row>
    <row r="39" spans="1:69" ht="15.6" customHeight="1">
      <c r="A39" s="66">
        <v>5442</v>
      </c>
      <c r="B39" s="80" t="s">
        <v>1447</v>
      </c>
      <c r="C39" s="65" t="s">
        <v>212</v>
      </c>
      <c r="D39" s="53">
        <v>46569</v>
      </c>
      <c r="E39" s="64" t="s">
        <v>998</v>
      </c>
      <c r="F39" s="64"/>
      <c r="G39" s="68" t="s">
        <v>999</v>
      </c>
      <c r="H39" s="83" t="s">
        <v>1448</v>
      </c>
      <c r="I39" s="61" t="s">
        <v>681</v>
      </c>
      <c r="J39" s="61"/>
      <c r="K39" s="61" t="s">
        <v>150</v>
      </c>
      <c r="L39" s="61"/>
      <c r="M39" s="65" t="s">
        <v>1276</v>
      </c>
      <c r="N39" s="85" t="s">
        <v>949</v>
      </c>
      <c r="O39" s="64">
        <v>46569</v>
      </c>
      <c r="P39" s="85">
        <v>1</v>
      </c>
      <c r="Q39" s="157" t="s">
        <v>1353</v>
      </c>
      <c r="R39" s="151" t="s">
        <v>1434</v>
      </c>
      <c r="S39" s="152">
        <v>437222</v>
      </c>
      <c r="T39" s="153"/>
      <c r="U39" s="158" t="s">
        <v>1363</v>
      </c>
      <c r="V39" s="158" t="s">
        <v>1363</v>
      </c>
      <c r="W39" s="155" t="s">
        <v>1363</v>
      </c>
      <c r="X39" s="155" t="s">
        <v>1363</v>
      </c>
      <c r="Y39" s="155" t="s">
        <v>1363</v>
      </c>
      <c r="Z39" s="156">
        <v>970111.79646880401</v>
      </c>
      <c r="AA39" s="147" t="s">
        <v>1423</v>
      </c>
      <c r="AB39" s="61" t="s">
        <v>1322</v>
      </c>
      <c r="AC39" s="61" t="s">
        <v>1322</v>
      </c>
      <c r="AD39" s="61" t="s">
        <v>1322</v>
      </c>
      <c r="AE39" s="61" t="s">
        <v>138</v>
      </c>
      <c r="AF39" s="62" t="s">
        <v>405</v>
      </c>
      <c r="AG39" s="61" t="s">
        <v>150</v>
      </c>
      <c r="AH39" s="65" t="s">
        <v>406</v>
      </c>
      <c r="AI39" s="91" t="s">
        <v>217</v>
      </c>
      <c r="AJ39" s="63" t="s">
        <v>216</v>
      </c>
      <c r="AK39" s="63" t="s">
        <v>989</v>
      </c>
      <c r="AL39" s="61" t="s">
        <v>138</v>
      </c>
      <c r="AM39" s="61" t="s">
        <v>138</v>
      </c>
      <c r="AN39" s="61" t="s">
        <v>138</v>
      </c>
      <c r="AO39" s="61" t="s">
        <v>138</v>
      </c>
      <c r="AP39" s="63" t="s">
        <v>216</v>
      </c>
      <c r="AQ39" s="61" t="s">
        <v>995</v>
      </c>
      <c r="AR39" s="61" t="s">
        <v>1449</v>
      </c>
      <c r="AS39" s="65" t="s">
        <v>1450</v>
      </c>
      <c r="AT39" s="65" t="s">
        <v>1282</v>
      </c>
      <c r="AU39" s="61" t="s">
        <v>988</v>
      </c>
      <c r="AV39" s="166" t="s">
        <v>1451</v>
      </c>
      <c r="AW39" s="62"/>
      <c r="AX39" s="61" t="s">
        <v>1359</v>
      </c>
      <c r="AY39" s="61" t="s">
        <v>1299</v>
      </c>
      <c r="AZ39" s="63" t="s">
        <v>776</v>
      </c>
      <c r="BA39" s="63" t="s">
        <v>776</v>
      </c>
      <c r="BB39" s="64" t="s">
        <v>215</v>
      </c>
      <c r="BC39" s="61"/>
      <c r="BD39" s="61"/>
      <c r="BE39" s="142">
        <v>970111</v>
      </c>
      <c r="BF39" s="61" t="s">
        <v>1452</v>
      </c>
      <c r="BG39" s="65" t="s">
        <v>342</v>
      </c>
      <c r="BH39" s="165"/>
      <c r="BI39" s="65"/>
      <c r="BJ39" s="65" t="s">
        <v>179</v>
      </c>
      <c r="BK39" s="65" t="s">
        <v>215</v>
      </c>
      <c r="BL39" s="65"/>
      <c r="BM39" s="66"/>
      <c r="BN39" s="66"/>
      <c r="BO39" s="66"/>
      <c r="BP39" s="66"/>
      <c r="BQ39" s="66"/>
    </row>
    <row r="40" spans="1:69" ht="15.6" customHeight="1">
      <c r="A40" s="66">
        <v>5444</v>
      </c>
      <c r="B40" s="80" t="s">
        <v>408</v>
      </c>
      <c r="C40" s="65" t="s">
        <v>223</v>
      </c>
      <c r="D40" s="53">
        <v>46569</v>
      </c>
      <c r="E40" s="64" t="s">
        <v>1012</v>
      </c>
      <c r="F40" s="82"/>
      <c r="G40" s="64" t="s">
        <v>1453</v>
      </c>
      <c r="H40" s="83" t="s">
        <v>1454</v>
      </c>
      <c r="I40" s="61" t="s">
        <v>681</v>
      </c>
      <c r="J40" s="61"/>
      <c r="K40" s="61" t="s">
        <v>150</v>
      </c>
      <c r="L40" s="61"/>
      <c r="M40" s="65" t="s">
        <v>1276</v>
      </c>
      <c r="N40" s="85" t="s">
        <v>949</v>
      </c>
      <c r="O40" s="64">
        <v>46569</v>
      </c>
      <c r="P40" s="85">
        <v>1</v>
      </c>
      <c r="Q40" s="157" t="s">
        <v>1353</v>
      </c>
      <c r="R40" s="151" t="s">
        <v>1434</v>
      </c>
      <c r="S40" s="152">
        <v>735834</v>
      </c>
      <c r="T40" s="153"/>
      <c r="U40" s="158" t="s">
        <v>1363</v>
      </c>
      <c r="V40" s="158" t="s">
        <v>1363</v>
      </c>
      <c r="W40" s="155" t="s">
        <v>1363</v>
      </c>
      <c r="X40" s="155" t="s">
        <v>1363</v>
      </c>
      <c r="Y40" s="155" t="s">
        <v>1372</v>
      </c>
      <c r="Z40" s="156">
        <v>800474.72534640424</v>
      </c>
      <c r="AA40" s="147" t="s">
        <v>1404</v>
      </c>
      <c r="AB40" s="61" t="s">
        <v>1303</v>
      </c>
      <c r="AC40" s="61" t="s">
        <v>1372</v>
      </c>
      <c r="AD40" s="61" t="s">
        <v>1372</v>
      </c>
      <c r="AE40" s="61" t="s">
        <v>138</v>
      </c>
      <c r="AF40" s="62" t="s">
        <v>410</v>
      </c>
      <c r="AG40" s="61" t="s">
        <v>150</v>
      </c>
      <c r="AH40" s="65" t="s">
        <v>411</v>
      </c>
      <c r="AI40" s="91" t="s">
        <v>217</v>
      </c>
      <c r="AJ40" s="63" t="s">
        <v>216</v>
      </c>
      <c r="AK40" s="63" t="s">
        <v>216</v>
      </c>
      <c r="AL40" s="61" t="s">
        <v>138</v>
      </c>
      <c r="AM40" s="61" t="s">
        <v>1003</v>
      </c>
      <c r="AN40" s="61" t="s">
        <v>138</v>
      </c>
      <c r="AO40" s="61" t="s">
        <v>150</v>
      </c>
      <c r="AP40" s="63" t="s">
        <v>216</v>
      </c>
      <c r="AQ40" s="61" t="s">
        <v>1010</v>
      </c>
      <c r="AR40" s="61" t="s">
        <v>1011</v>
      </c>
      <c r="AS40" s="61" t="s">
        <v>1455</v>
      </c>
      <c r="AT40" s="65" t="s">
        <v>1282</v>
      </c>
      <c r="AU40" s="65" t="s">
        <v>1001</v>
      </c>
      <c r="AV40" s="144" t="s">
        <v>1456</v>
      </c>
      <c r="AW40" s="62" t="s">
        <v>409</v>
      </c>
      <c r="AX40" s="61" t="s">
        <v>1359</v>
      </c>
      <c r="AY40" s="61" t="s">
        <v>776</v>
      </c>
      <c r="AZ40" s="63" t="s">
        <v>776</v>
      </c>
      <c r="BA40" s="63" t="s">
        <v>776</v>
      </c>
      <c r="BB40" s="64" t="s">
        <v>215</v>
      </c>
      <c r="BC40" s="61"/>
      <c r="BD40" s="61"/>
      <c r="BE40" s="142">
        <v>800474</v>
      </c>
      <c r="BF40" s="65" t="s">
        <v>1457</v>
      </c>
      <c r="BG40" s="65" t="s">
        <v>342</v>
      </c>
      <c r="BH40" s="165"/>
      <c r="BI40" s="65"/>
      <c r="BJ40" s="65" t="s">
        <v>179</v>
      </c>
      <c r="BK40" s="100" t="s">
        <v>215</v>
      </c>
      <c r="BL40" s="100"/>
      <c r="BM40" s="66"/>
      <c r="BN40" s="66"/>
      <c r="BO40" s="66"/>
      <c r="BP40" s="66"/>
      <c r="BQ40" s="66"/>
    </row>
    <row r="41" spans="1:69" ht="15.6" customHeight="1">
      <c r="A41" s="66">
        <v>5454</v>
      </c>
      <c r="B41" s="80" t="s">
        <v>413</v>
      </c>
      <c r="C41" s="65" t="s">
        <v>212</v>
      </c>
      <c r="D41" s="53">
        <v>46387</v>
      </c>
      <c r="E41" s="67" t="s">
        <v>925</v>
      </c>
      <c r="F41" s="85" t="s">
        <v>439</v>
      </c>
      <c r="G41" s="86" t="s">
        <v>1017</v>
      </c>
      <c r="H41" s="83" t="s">
        <v>414</v>
      </c>
      <c r="I41" s="61" t="s">
        <v>681</v>
      </c>
      <c r="J41" s="61"/>
      <c r="K41" s="61" t="s">
        <v>138</v>
      </c>
      <c r="L41" s="61"/>
      <c r="M41" s="65" t="s">
        <v>1276</v>
      </c>
      <c r="N41" s="85" t="s">
        <v>1015</v>
      </c>
      <c r="O41" s="82">
        <v>46157</v>
      </c>
      <c r="P41" s="85">
        <v>1</v>
      </c>
      <c r="Q41" s="157" t="s">
        <v>1279</v>
      </c>
      <c r="R41" s="151" t="s">
        <v>1367</v>
      </c>
      <c r="S41" s="152">
        <v>0</v>
      </c>
      <c r="T41" s="153"/>
      <c r="U41" s="158" t="s">
        <v>1363</v>
      </c>
      <c r="V41" s="158" t="s">
        <v>1363</v>
      </c>
      <c r="W41" s="155" t="s">
        <v>1279</v>
      </c>
      <c r="X41" s="155" t="s">
        <v>1280</v>
      </c>
      <c r="Y41" s="155" t="s">
        <v>1280</v>
      </c>
      <c r="Z41" s="156">
        <v>28921.591408133576</v>
      </c>
      <c r="AA41" s="147" t="s">
        <v>1404</v>
      </c>
      <c r="AB41" s="61" t="s">
        <v>1279</v>
      </c>
      <c r="AC41" s="61" t="s">
        <v>1280</v>
      </c>
      <c r="AD41" s="61" t="s">
        <v>1280</v>
      </c>
      <c r="AE41" s="61" t="s">
        <v>138</v>
      </c>
      <c r="AF41" s="62" t="s">
        <v>415</v>
      </c>
      <c r="AG41" s="61" t="s">
        <v>138</v>
      </c>
      <c r="AH41" s="61" t="s">
        <v>416</v>
      </c>
      <c r="AI41" s="87" t="s">
        <v>160</v>
      </c>
      <c r="AJ41" s="63" t="s">
        <v>417</v>
      </c>
      <c r="AK41" s="63" t="s">
        <v>816</v>
      </c>
      <c r="AL41" s="61" t="s">
        <v>150</v>
      </c>
      <c r="AM41" s="61" t="s">
        <v>138</v>
      </c>
      <c r="AN41" s="61" t="s">
        <v>150</v>
      </c>
      <c r="AO41" s="61" t="s">
        <v>150</v>
      </c>
      <c r="AP41" s="77" t="s">
        <v>842</v>
      </c>
      <c r="AQ41" s="61" t="s">
        <v>863</v>
      </c>
      <c r="AR41" s="61" t="s">
        <v>416</v>
      </c>
      <c r="AS41" s="61" t="s">
        <v>1417</v>
      </c>
      <c r="AT41" s="61" t="s">
        <v>1282</v>
      </c>
      <c r="AU41" s="61" t="s">
        <v>919</v>
      </c>
      <c r="AV41" s="144" t="s">
        <v>1458</v>
      </c>
      <c r="AW41" s="62"/>
      <c r="AX41" s="61" t="s">
        <v>1359</v>
      </c>
      <c r="AY41" s="61" t="s">
        <v>1309</v>
      </c>
      <c r="AZ41" s="77" t="s">
        <v>843</v>
      </c>
      <c r="BA41" s="77" t="s">
        <v>844</v>
      </c>
      <c r="BB41" s="64" t="s">
        <v>215</v>
      </c>
      <c r="BC41" s="61"/>
      <c r="BD41" s="61"/>
      <c r="BE41" s="149">
        <v>28921.591408133576</v>
      </c>
      <c r="BF41" s="90" t="s">
        <v>1419</v>
      </c>
      <c r="BG41" s="101" t="s">
        <v>353</v>
      </c>
      <c r="BH41" s="161"/>
      <c r="BI41" s="86"/>
      <c r="BJ41" s="65" t="s">
        <v>179</v>
      </c>
      <c r="BK41" s="65" t="s">
        <v>215</v>
      </c>
      <c r="BL41" s="65"/>
      <c r="BM41" s="66"/>
      <c r="BN41" s="66"/>
      <c r="BO41" s="66"/>
      <c r="BP41" s="66"/>
      <c r="BQ41" s="66"/>
    </row>
    <row r="42" spans="1:69" ht="15.6" customHeight="1">
      <c r="A42" s="66">
        <v>5463</v>
      </c>
      <c r="B42" s="96" t="s">
        <v>419</v>
      </c>
      <c r="C42" s="65" t="s">
        <v>223</v>
      </c>
      <c r="D42" s="53">
        <v>46233</v>
      </c>
      <c r="E42" s="64" t="s">
        <v>419</v>
      </c>
      <c r="F42" s="64" t="s">
        <v>1030</v>
      </c>
      <c r="G42" s="64" t="s">
        <v>1031</v>
      </c>
      <c r="H42" s="83" t="s">
        <v>420</v>
      </c>
      <c r="I42" s="61" t="s">
        <v>681</v>
      </c>
      <c r="J42" s="61"/>
      <c r="K42" s="61" t="s">
        <v>150</v>
      </c>
      <c r="L42" s="61" t="s">
        <v>138</v>
      </c>
      <c r="M42" s="65" t="s">
        <v>1276</v>
      </c>
      <c r="N42" s="85" t="s">
        <v>655</v>
      </c>
      <c r="O42" s="82">
        <v>46387</v>
      </c>
      <c r="P42" s="85">
        <v>1</v>
      </c>
      <c r="Q42" s="157" t="s">
        <v>1279</v>
      </c>
      <c r="R42" s="151" t="s">
        <v>1367</v>
      </c>
      <c r="S42" s="152">
        <v>586430</v>
      </c>
      <c r="T42" s="153"/>
      <c r="U42" s="158" t="s">
        <v>1279</v>
      </c>
      <c r="V42" s="158" t="s">
        <v>1280</v>
      </c>
      <c r="W42" s="155" t="s">
        <v>1279</v>
      </c>
      <c r="X42" s="155" t="s">
        <v>1280</v>
      </c>
      <c r="Y42" s="155" t="s">
        <v>1280</v>
      </c>
      <c r="Z42" s="156">
        <v>447472.70713090326</v>
      </c>
      <c r="AA42" s="147" t="s">
        <v>1423</v>
      </c>
      <c r="AB42" s="61" t="s">
        <v>1279</v>
      </c>
      <c r="AC42" s="61" t="s">
        <v>1280</v>
      </c>
      <c r="AD42" s="61" t="s">
        <v>1280</v>
      </c>
      <c r="AE42" s="61" t="s">
        <v>138</v>
      </c>
      <c r="AF42" s="62" t="s">
        <v>422</v>
      </c>
      <c r="AG42" s="61" t="s">
        <v>150</v>
      </c>
      <c r="AH42" s="61" t="s">
        <v>423</v>
      </c>
      <c r="AI42" s="63" t="s">
        <v>216</v>
      </c>
      <c r="AJ42" s="63" t="s">
        <v>216</v>
      </c>
      <c r="AK42" s="63" t="s">
        <v>816</v>
      </c>
      <c r="AL42" s="61" t="s">
        <v>150</v>
      </c>
      <c r="AM42" s="61" t="s">
        <v>138</v>
      </c>
      <c r="AN42" s="61" t="s">
        <v>150</v>
      </c>
      <c r="AO42" s="61" t="s">
        <v>138</v>
      </c>
      <c r="AP42" s="63" t="s">
        <v>216</v>
      </c>
      <c r="AQ42" s="61" t="s">
        <v>863</v>
      </c>
      <c r="AR42" s="61" t="s">
        <v>1025</v>
      </c>
      <c r="AS42" s="61" t="s">
        <v>546</v>
      </c>
      <c r="AT42" s="61" t="s">
        <v>1282</v>
      </c>
      <c r="AU42" s="77" t="s">
        <v>805</v>
      </c>
      <c r="AV42" s="144" t="s">
        <v>1459</v>
      </c>
      <c r="AW42" s="164" t="s">
        <v>1460</v>
      </c>
      <c r="AX42" s="61" t="s">
        <v>1359</v>
      </c>
      <c r="AY42" s="61" t="s">
        <v>1461</v>
      </c>
      <c r="AZ42" s="63" t="s">
        <v>216</v>
      </c>
      <c r="BA42" s="63" t="s">
        <v>216</v>
      </c>
      <c r="BB42" s="64" t="s">
        <v>215</v>
      </c>
      <c r="BC42" s="61"/>
      <c r="BD42" s="61"/>
      <c r="BE42" s="149">
        <v>447472.70713090326</v>
      </c>
      <c r="BF42" s="90" t="s">
        <v>150</v>
      </c>
      <c r="BG42" s="90"/>
      <c r="BH42" s="161"/>
      <c r="BI42" s="86"/>
      <c r="BJ42" s="65" t="s">
        <v>179</v>
      </c>
      <c r="BK42" s="65" t="s">
        <v>215</v>
      </c>
      <c r="BL42" s="65"/>
      <c r="BM42" s="66"/>
      <c r="BN42" s="66"/>
      <c r="BO42" s="66"/>
      <c r="BP42" s="66"/>
      <c r="BQ42" s="66"/>
    </row>
    <row r="43" spans="1:69" ht="15.6" customHeight="1">
      <c r="A43" s="66">
        <v>5464</v>
      </c>
      <c r="B43" s="96" t="s">
        <v>425</v>
      </c>
      <c r="C43" s="65" t="s">
        <v>223</v>
      </c>
      <c r="D43" s="81">
        <v>46478</v>
      </c>
      <c r="E43" s="64" t="s">
        <v>839</v>
      </c>
      <c r="F43" s="82"/>
      <c r="G43" s="64" t="s">
        <v>697</v>
      </c>
      <c r="H43" s="83" t="s">
        <v>426</v>
      </c>
      <c r="I43" s="61" t="s">
        <v>681</v>
      </c>
      <c r="J43" s="61"/>
      <c r="K43" s="61"/>
      <c r="L43" s="61"/>
      <c r="M43" s="65" t="s">
        <v>1276</v>
      </c>
      <c r="N43" s="85" t="s">
        <v>920</v>
      </c>
      <c r="O43" s="82">
        <v>46478</v>
      </c>
      <c r="P43" s="85">
        <v>1</v>
      </c>
      <c r="Q43" s="157" t="s">
        <v>1353</v>
      </c>
      <c r="R43" s="151" t="s">
        <v>1422</v>
      </c>
      <c r="S43" s="152">
        <v>0</v>
      </c>
      <c r="T43" s="153"/>
      <c r="U43" s="158" t="s">
        <v>1363</v>
      </c>
      <c r="V43" s="158" t="s">
        <v>1363</v>
      </c>
      <c r="W43" s="155" t="s">
        <v>1279</v>
      </c>
      <c r="X43" s="155" t="s">
        <v>1288</v>
      </c>
      <c r="Y43" s="155" t="s">
        <v>1288</v>
      </c>
      <c r="Z43" s="156">
        <v>1868.0493728175932</v>
      </c>
      <c r="AA43" s="147">
        <v>300841001</v>
      </c>
      <c r="AB43" s="61" t="s">
        <v>1279</v>
      </c>
      <c r="AC43" s="61" t="s">
        <v>1288</v>
      </c>
      <c r="AD43" s="61" t="s">
        <v>1288</v>
      </c>
      <c r="AE43" s="61" t="s">
        <v>150</v>
      </c>
      <c r="AF43" s="62" t="s">
        <v>428</v>
      </c>
      <c r="AG43" s="61" t="s">
        <v>150</v>
      </c>
      <c r="AH43" s="65" t="s">
        <v>429</v>
      </c>
      <c r="AI43" s="91" t="s">
        <v>216</v>
      </c>
      <c r="AJ43" s="63" t="s">
        <v>216</v>
      </c>
      <c r="AK43" s="63" t="s">
        <v>438</v>
      </c>
      <c r="AL43" s="61" t="s">
        <v>138</v>
      </c>
      <c r="AM43" s="61" t="s">
        <v>150</v>
      </c>
      <c r="AN43" s="61" t="s">
        <v>150</v>
      </c>
      <c r="AO43" s="61" t="s">
        <v>150</v>
      </c>
      <c r="AP43" s="63" t="s">
        <v>216</v>
      </c>
      <c r="AQ43" s="61" t="s">
        <v>967</v>
      </c>
      <c r="AR43" s="61" t="s">
        <v>1039</v>
      </c>
      <c r="AS43" s="65" t="s">
        <v>1462</v>
      </c>
      <c r="AT43" s="61" t="s">
        <v>1282</v>
      </c>
      <c r="AU43" s="61" t="s">
        <v>960</v>
      </c>
      <c r="AV43" s="144" t="s">
        <v>1463</v>
      </c>
      <c r="AW43" s="62" t="s">
        <v>426</v>
      </c>
      <c r="AX43" s="61" t="s">
        <v>1359</v>
      </c>
      <c r="AY43" s="61" t="s">
        <v>776</v>
      </c>
      <c r="AZ43" s="63" t="s">
        <v>216</v>
      </c>
      <c r="BA43" s="63" t="s">
        <v>216</v>
      </c>
      <c r="BB43" s="64" t="s">
        <v>216</v>
      </c>
      <c r="BC43" s="61">
        <v>1012019</v>
      </c>
      <c r="BD43" s="61"/>
      <c r="BE43" s="142">
        <v>0</v>
      </c>
      <c r="BF43" s="103" t="s">
        <v>150</v>
      </c>
      <c r="BG43" s="103" t="s">
        <v>363</v>
      </c>
      <c r="BH43" s="167"/>
      <c r="BI43" s="103"/>
      <c r="BJ43" s="65" t="s">
        <v>179</v>
      </c>
      <c r="BK43" s="65" t="s">
        <v>215</v>
      </c>
      <c r="BL43" s="65"/>
      <c r="BM43" s="66"/>
      <c r="BN43" s="66"/>
      <c r="BO43" s="66"/>
      <c r="BP43" s="66"/>
      <c r="BQ43" s="66"/>
    </row>
    <row r="44" spans="1:69" ht="15.6" customHeight="1">
      <c r="A44" s="66">
        <v>5465</v>
      </c>
      <c r="B44" s="80" t="s">
        <v>431</v>
      </c>
      <c r="C44" s="65" t="s">
        <v>212</v>
      </c>
      <c r="D44" s="81">
        <v>46507</v>
      </c>
      <c r="E44" s="64" t="s">
        <v>1051</v>
      </c>
      <c r="F44" s="82"/>
      <c r="G44" s="102" t="s">
        <v>1052</v>
      </c>
      <c r="H44" s="83" t="s">
        <v>1464</v>
      </c>
      <c r="I44" s="61" t="s">
        <v>681</v>
      </c>
      <c r="J44" s="61"/>
      <c r="K44" s="61" t="s">
        <v>150</v>
      </c>
      <c r="L44" s="61"/>
      <c r="M44" s="65" t="s">
        <v>1276</v>
      </c>
      <c r="N44" s="85" t="s">
        <v>1042</v>
      </c>
      <c r="O44" s="82">
        <v>46569</v>
      </c>
      <c r="P44" s="85">
        <v>1</v>
      </c>
      <c r="Q44" s="157" t="s">
        <v>1353</v>
      </c>
      <c r="R44" s="151" t="s">
        <v>1434</v>
      </c>
      <c r="S44" s="152">
        <v>551875</v>
      </c>
      <c r="T44" s="153"/>
      <c r="U44" s="158" t="s">
        <v>1363</v>
      </c>
      <c r="V44" s="158" t="s">
        <v>1363</v>
      </c>
      <c r="W44" s="155" t="s">
        <v>1363</v>
      </c>
      <c r="X44" s="155" t="s">
        <v>1363</v>
      </c>
      <c r="Y44" s="155" t="s">
        <v>1363</v>
      </c>
      <c r="Z44" s="156">
        <v>673565.18253013724</v>
      </c>
      <c r="AA44" s="147" t="s">
        <v>1404</v>
      </c>
      <c r="AB44" s="61" t="s">
        <v>1363</v>
      </c>
      <c r="AC44" s="61" t="s">
        <v>1363</v>
      </c>
      <c r="AD44" s="61" t="s">
        <v>1363</v>
      </c>
      <c r="AE44" s="61" t="s">
        <v>138</v>
      </c>
      <c r="AF44" s="62" t="s">
        <v>433</v>
      </c>
      <c r="AG44" s="61" t="s">
        <v>150</v>
      </c>
      <c r="AH44" s="61" t="s">
        <v>434</v>
      </c>
      <c r="AI44" s="63" t="s">
        <v>217</v>
      </c>
      <c r="AJ44" s="63" t="s">
        <v>216</v>
      </c>
      <c r="AK44" s="63" t="s">
        <v>1042</v>
      </c>
      <c r="AL44" s="61" t="s">
        <v>138</v>
      </c>
      <c r="AM44" s="61" t="s">
        <v>1043</v>
      </c>
      <c r="AN44" s="61" t="s">
        <v>150</v>
      </c>
      <c r="AO44" s="61" t="s">
        <v>150</v>
      </c>
      <c r="AP44" s="63" t="s">
        <v>216</v>
      </c>
      <c r="AQ44" s="61" t="s">
        <v>1049</v>
      </c>
      <c r="AR44" s="61" t="s">
        <v>1049</v>
      </c>
      <c r="AS44" s="61" t="s">
        <v>1465</v>
      </c>
      <c r="AT44" s="61" t="s">
        <v>1282</v>
      </c>
      <c r="AU44" s="61" t="s">
        <v>216</v>
      </c>
      <c r="AV44" s="161" t="s">
        <v>1466</v>
      </c>
      <c r="AW44" s="62"/>
      <c r="AX44" s="61" t="s">
        <v>1359</v>
      </c>
      <c r="AY44" s="61" t="s">
        <v>776</v>
      </c>
      <c r="AZ44" s="63" t="s">
        <v>776</v>
      </c>
      <c r="BA44" s="63" t="s">
        <v>776</v>
      </c>
      <c r="BB44" s="64" t="s">
        <v>216</v>
      </c>
      <c r="BC44" s="61"/>
      <c r="BD44" s="61"/>
      <c r="BE44" s="149">
        <v>673565.18253013724</v>
      </c>
      <c r="BF44" s="90" t="s">
        <v>1467</v>
      </c>
      <c r="BG44" s="90" t="s">
        <v>370</v>
      </c>
      <c r="BH44" s="161"/>
      <c r="BI44" s="86"/>
      <c r="BJ44" s="65" t="s">
        <v>179</v>
      </c>
      <c r="BK44" s="65" t="s">
        <v>215</v>
      </c>
      <c r="BL44" s="65"/>
      <c r="BM44" s="66"/>
      <c r="BN44" s="66"/>
      <c r="BO44" s="66"/>
      <c r="BP44" s="66"/>
      <c r="BQ44" s="66"/>
    </row>
    <row r="45" spans="1:69" ht="15.6" customHeight="1">
      <c r="A45" s="66">
        <v>5478</v>
      </c>
      <c r="B45" s="80" t="s">
        <v>436</v>
      </c>
      <c r="C45" s="65" t="s">
        <v>212</v>
      </c>
      <c r="D45" s="53">
        <v>46387</v>
      </c>
      <c r="E45" s="90" t="s">
        <v>1061</v>
      </c>
      <c r="F45" s="85" t="s">
        <v>439</v>
      </c>
      <c r="G45" s="104" t="s">
        <v>1062</v>
      </c>
      <c r="H45" s="83" t="s">
        <v>1468</v>
      </c>
      <c r="I45" s="61" t="s">
        <v>681</v>
      </c>
      <c r="J45" s="61"/>
      <c r="K45" s="61" t="s">
        <v>138</v>
      </c>
      <c r="L45" s="61"/>
      <c r="M45" s="65" t="s">
        <v>1276</v>
      </c>
      <c r="N45" s="85" t="s">
        <v>655</v>
      </c>
      <c r="O45" s="64">
        <v>46387</v>
      </c>
      <c r="P45" s="85">
        <v>1</v>
      </c>
      <c r="Q45" s="157" t="s">
        <v>1353</v>
      </c>
      <c r="R45" s="151" t="s">
        <v>1434</v>
      </c>
      <c r="S45" s="152">
        <v>893607</v>
      </c>
      <c r="T45" s="153"/>
      <c r="U45" s="158" t="s">
        <v>1363</v>
      </c>
      <c r="V45" s="158" t="s">
        <v>1363</v>
      </c>
      <c r="W45" s="155" t="s">
        <v>1363</v>
      </c>
      <c r="X45" s="155" t="s">
        <v>1363</v>
      </c>
      <c r="Y45" s="155" t="s">
        <v>1363</v>
      </c>
      <c r="Z45" s="156">
        <v>808337.39558600495</v>
      </c>
      <c r="AA45" s="147" t="s">
        <v>1423</v>
      </c>
      <c r="AB45" s="61" t="s">
        <v>1363</v>
      </c>
      <c r="AC45" s="61" t="s">
        <v>1363</v>
      </c>
      <c r="AD45" s="61" t="s">
        <v>1363</v>
      </c>
      <c r="AE45" s="65" t="s">
        <v>138</v>
      </c>
      <c r="AF45" s="62" t="s">
        <v>441</v>
      </c>
      <c r="AG45" s="61" t="s">
        <v>138</v>
      </c>
      <c r="AH45" s="61" t="s">
        <v>386</v>
      </c>
      <c r="AI45" s="91" t="s">
        <v>160</v>
      </c>
      <c r="AJ45" s="63" t="s">
        <v>349</v>
      </c>
      <c r="AK45" s="63" t="s">
        <v>438</v>
      </c>
      <c r="AL45" s="61" t="s">
        <v>138</v>
      </c>
      <c r="AM45" s="61" t="s">
        <v>138</v>
      </c>
      <c r="AN45" s="61" t="s">
        <v>138</v>
      </c>
      <c r="AO45" s="77" t="s">
        <v>138</v>
      </c>
      <c r="AP45" s="63" t="s">
        <v>842</v>
      </c>
      <c r="AQ45" s="61" t="s">
        <v>863</v>
      </c>
      <c r="AR45" s="61" t="s">
        <v>1058</v>
      </c>
      <c r="AS45" s="61" t="s">
        <v>439</v>
      </c>
      <c r="AT45" s="61" t="s">
        <v>1282</v>
      </c>
      <c r="AU45" s="61" t="s">
        <v>1053</v>
      </c>
      <c r="AV45" s="141" t="s">
        <v>1469</v>
      </c>
      <c r="AW45" s="164" t="s">
        <v>1470</v>
      </c>
      <c r="AX45" s="61" t="s">
        <v>1359</v>
      </c>
      <c r="AY45" s="61" t="s">
        <v>1309</v>
      </c>
      <c r="AZ45" s="63" t="s">
        <v>903</v>
      </c>
      <c r="BA45" s="63" t="s">
        <v>904</v>
      </c>
      <c r="BB45" s="64" t="s">
        <v>215</v>
      </c>
      <c r="BC45" s="61"/>
      <c r="BD45" s="61"/>
      <c r="BE45" s="142">
        <v>808337</v>
      </c>
      <c r="BF45" s="61" t="s">
        <v>150</v>
      </c>
      <c r="BG45" s="61" t="s">
        <v>342</v>
      </c>
      <c r="BH45" s="163" t="s">
        <v>1398</v>
      </c>
      <c r="BI45" s="60"/>
      <c r="BJ45" s="65" t="s">
        <v>179</v>
      </c>
      <c r="BK45" s="82" t="s">
        <v>215</v>
      </c>
      <c r="BL45" s="82"/>
      <c r="BM45" s="66"/>
      <c r="BN45" s="66"/>
      <c r="BO45" s="66"/>
      <c r="BP45" s="66"/>
      <c r="BQ45" s="66"/>
    </row>
    <row r="46" spans="1:69" ht="15.6" customHeight="1">
      <c r="A46" s="66">
        <v>5479</v>
      </c>
      <c r="B46" s="80" t="s">
        <v>443</v>
      </c>
      <c r="C46" s="65" t="s">
        <v>223</v>
      </c>
      <c r="D46" s="53">
        <v>46387</v>
      </c>
      <c r="E46" s="90" t="s">
        <v>443</v>
      </c>
      <c r="F46" s="85" t="s">
        <v>928</v>
      </c>
      <c r="G46" s="85"/>
      <c r="H46" s="83" t="s">
        <v>444</v>
      </c>
      <c r="I46" s="61" t="s">
        <v>681</v>
      </c>
      <c r="J46" s="61"/>
      <c r="K46" s="61" t="s">
        <v>138</v>
      </c>
      <c r="L46" s="61" t="s">
        <v>138</v>
      </c>
      <c r="M46" s="65" t="s">
        <v>1276</v>
      </c>
      <c r="N46" s="85" t="s">
        <v>655</v>
      </c>
      <c r="O46" s="64">
        <v>46387</v>
      </c>
      <c r="P46" s="85">
        <v>1</v>
      </c>
      <c r="Q46" s="157" t="s">
        <v>1279</v>
      </c>
      <c r="R46" s="151" t="s">
        <v>1367</v>
      </c>
      <c r="S46" s="152">
        <v>7082225</v>
      </c>
      <c r="T46" s="153"/>
      <c r="U46" s="158" t="s">
        <v>1279</v>
      </c>
      <c r="V46" s="158" t="s">
        <v>1280</v>
      </c>
      <c r="W46" s="155" t="s">
        <v>1279</v>
      </c>
      <c r="X46" s="155" t="s">
        <v>1280</v>
      </c>
      <c r="Y46" s="155" t="s">
        <v>1280</v>
      </c>
      <c r="Z46" s="156">
        <v>6508026.1345769698</v>
      </c>
      <c r="AA46" s="147" t="s">
        <v>1393</v>
      </c>
      <c r="AB46" s="61" t="s">
        <v>1279</v>
      </c>
      <c r="AC46" s="61" t="s">
        <v>1280</v>
      </c>
      <c r="AD46" s="61" t="s">
        <v>1280</v>
      </c>
      <c r="AE46" s="61" t="s">
        <v>138</v>
      </c>
      <c r="AF46" s="62" t="s">
        <v>446</v>
      </c>
      <c r="AG46" s="61" t="s">
        <v>138</v>
      </c>
      <c r="AH46" s="61"/>
      <c r="AI46" s="63" t="s">
        <v>160</v>
      </c>
      <c r="AJ46" s="63" t="s">
        <v>349</v>
      </c>
      <c r="AK46" s="63" t="s">
        <v>221</v>
      </c>
      <c r="AL46" s="61" t="s">
        <v>138</v>
      </c>
      <c r="AM46" s="61" t="s">
        <v>138</v>
      </c>
      <c r="AN46" s="61" t="s">
        <v>138</v>
      </c>
      <c r="AO46" s="77" t="s">
        <v>1471</v>
      </c>
      <c r="AP46" s="63" t="s">
        <v>791</v>
      </c>
      <c r="AQ46" s="61" t="s">
        <v>863</v>
      </c>
      <c r="AR46" s="61" t="s">
        <v>1068</v>
      </c>
      <c r="AS46" s="61" t="s">
        <v>928</v>
      </c>
      <c r="AT46" s="61" t="s">
        <v>1282</v>
      </c>
      <c r="AU46" s="61" t="s">
        <v>905</v>
      </c>
      <c r="AV46" s="141" t="s">
        <v>1472</v>
      </c>
      <c r="AW46" s="164" t="s">
        <v>1473</v>
      </c>
      <c r="AX46" s="61" t="s">
        <v>1359</v>
      </c>
      <c r="AY46" s="61" t="s">
        <v>1474</v>
      </c>
      <c r="AZ46" s="63" t="s">
        <v>903</v>
      </c>
      <c r="BA46" s="63" t="s">
        <v>904</v>
      </c>
      <c r="BB46" s="64" t="s">
        <v>215</v>
      </c>
      <c r="BC46" s="61"/>
      <c r="BD46" s="61"/>
      <c r="BE46" s="142">
        <v>6508026</v>
      </c>
      <c r="BF46" s="65" t="s">
        <v>150</v>
      </c>
      <c r="BG46" s="61" t="s">
        <v>342</v>
      </c>
      <c r="BH46" s="163" t="s">
        <v>1398</v>
      </c>
      <c r="BI46" s="62"/>
      <c r="BJ46" s="65" t="s">
        <v>179</v>
      </c>
      <c r="BK46" s="65" t="s">
        <v>215</v>
      </c>
      <c r="BL46" s="65"/>
      <c r="BM46" s="66"/>
      <c r="BN46" s="66"/>
      <c r="BO46" s="66"/>
      <c r="BP46" s="66"/>
      <c r="BQ46" s="66"/>
    </row>
    <row r="47" spans="1:69" ht="15.6" customHeight="1">
      <c r="A47" s="66">
        <v>5567</v>
      </c>
      <c r="B47" s="80" t="s">
        <v>448</v>
      </c>
      <c r="C47" s="65" t="s">
        <v>212</v>
      </c>
      <c r="D47" s="53">
        <v>46387</v>
      </c>
      <c r="E47" s="90" t="s">
        <v>448</v>
      </c>
      <c r="F47" s="85"/>
      <c r="G47" s="85"/>
      <c r="H47" s="83" t="s">
        <v>1475</v>
      </c>
      <c r="I47" s="61" t="s">
        <v>681</v>
      </c>
      <c r="J47" s="61"/>
      <c r="K47" s="61" t="s">
        <v>150</v>
      </c>
      <c r="L47" s="61"/>
      <c r="M47" s="65" t="s">
        <v>1276</v>
      </c>
      <c r="N47" s="85" t="s">
        <v>1042</v>
      </c>
      <c r="O47" s="64">
        <v>46387</v>
      </c>
      <c r="P47" s="85">
        <v>1</v>
      </c>
      <c r="Q47" s="157" t="s">
        <v>1279</v>
      </c>
      <c r="R47" s="151" t="s">
        <v>1367</v>
      </c>
      <c r="S47" s="152">
        <v>127371</v>
      </c>
      <c r="T47" s="153"/>
      <c r="U47" s="158" t="s">
        <v>1363</v>
      </c>
      <c r="V47" s="158" t="s">
        <v>1363</v>
      </c>
      <c r="W47" s="155" t="s">
        <v>1279</v>
      </c>
      <c r="X47" s="155" t="s">
        <v>1280</v>
      </c>
      <c r="Y47" s="155" t="s">
        <v>1280</v>
      </c>
      <c r="Z47" s="156">
        <v>1868.0493728175932</v>
      </c>
      <c r="AA47" s="147">
        <v>300841001</v>
      </c>
      <c r="AB47" s="61" t="s">
        <v>1279</v>
      </c>
      <c r="AC47" s="61" t="s">
        <v>1280</v>
      </c>
      <c r="AD47" s="61" t="s">
        <v>1280</v>
      </c>
      <c r="AE47" s="65" t="s">
        <v>138</v>
      </c>
      <c r="AF47" s="62" t="s">
        <v>450</v>
      </c>
      <c r="AG47" s="61" t="s">
        <v>1091</v>
      </c>
      <c r="AH47" s="65" t="s">
        <v>451</v>
      </c>
      <c r="AI47" s="91" t="s">
        <v>217</v>
      </c>
      <c r="AJ47" s="63" t="s">
        <v>216</v>
      </c>
      <c r="AK47" s="63" t="s">
        <v>1071</v>
      </c>
      <c r="AL47" s="61" t="s">
        <v>138</v>
      </c>
      <c r="AM47" s="61" t="s">
        <v>138</v>
      </c>
      <c r="AN47" s="61" t="s">
        <v>150</v>
      </c>
      <c r="AO47" s="61" t="s">
        <v>138</v>
      </c>
      <c r="AP47" s="63" t="s">
        <v>216</v>
      </c>
      <c r="AQ47" s="61" t="s">
        <v>863</v>
      </c>
      <c r="AR47" s="61" t="s">
        <v>372</v>
      </c>
      <c r="AS47" s="61" t="s">
        <v>1476</v>
      </c>
      <c r="AT47" s="65" t="s">
        <v>1282</v>
      </c>
      <c r="AU47" s="65" t="s">
        <v>216</v>
      </c>
      <c r="AV47" s="144"/>
      <c r="AW47" s="62"/>
      <c r="AX47" s="61" t="s">
        <v>1359</v>
      </c>
      <c r="AY47" s="61" t="s">
        <v>1309</v>
      </c>
      <c r="AZ47" s="63" t="s">
        <v>776</v>
      </c>
      <c r="BA47" s="63" t="s">
        <v>776</v>
      </c>
      <c r="BB47" s="64" t="s">
        <v>216</v>
      </c>
      <c r="BC47" s="61"/>
      <c r="BD47" s="61"/>
      <c r="BE47" s="149">
        <v>1868</v>
      </c>
      <c r="BF47" s="101" t="s">
        <v>1477</v>
      </c>
      <c r="BG47" s="65" t="s">
        <v>342</v>
      </c>
      <c r="BH47" s="165"/>
      <c r="BI47" s="65"/>
      <c r="BJ47" s="65" t="s">
        <v>179</v>
      </c>
      <c r="BK47" s="65" t="s">
        <v>215</v>
      </c>
      <c r="BL47" s="65"/>
      <c r="BM47" s="66"/>
      <c r="BN47" s="66"/>
      <c r="BO47" s="66"/>
      <c r="BP47" s="66"/>
      <c r="BQ47" s="66"/>
    </row>
    <row r="48" spans="1:69" ht="15.6" customHeight="1">
      <c r="A48" s="66">
        <v>5570</v>
      </c>
      <c r="B48" s="80" t="s">
        <v>453</v>
      </c>
      <c r="C48" s="61" t="s">
        <v>212</v>
      </c>
      <c r="D48" s="53">
        <v>46387</v>
      </c>
      <c r="E48" s="90" t="s">
        <v>1081</v>
      </c>
      <c r="F48" s="85"/>
      <c r="G48" s="85"/>
      <c r="H48" s="83" t="s">
        <v>454</v>
      </c>
      <c r="I48" s="61" t="s">
        <v>681</v>
      </c>
      <c r="J48" s="61"/>
      <c r="K48" s="61" t="s">
        <v>138</v>
      </c>
      <c r="L48" s="61"/>
      <c r="M48" s="65" t="s">
        <v>1276</v>
      </c>
      <c r="N48" s="85" t="s">
        <v>655</v>
      </c>
      <c r="O48" s="64">
        <v>46387</v>
      </c>
      <c r="P48" s="85">
        <v>1</v>
      </c>
      <c r="Q48" s="157" t="s">
        <v>1279</v>
      </c>
      <c r="R48" s="151" t="s">
        <v>1367</v>
      </c>
      <c r="S48" s="152">
        <v>515083</v>
      </c>
      <c r="T48" s="153"/>
      <c r="U48" s="158" t="s">
        <v>1363</v>
      </c>
      <c r="V48" s="158" t="s">
        <v>1363</v>
      </c>
      <c r="W48" s="155" t="s">
        <v>1279</v>
      </c>
      <c r="X48" s="155" t="s">
        <v>1280</v>
      </c>
      <c r="Y48" s="155" t="s">
        <v>1280</v>
      </c>
      <c r="Z48" s="156">
        <v>508823.87112200353</v>
      </c>
      <c r="AA48" s="147" t="s">
        <v>1404</v>
      </c>
      <c r="AB48" s="61" t="s">
        <v>1279</v>
      </c>
      <c r="AC48" s="61" t="s">
        <v>1280</v>
      </c>
      <c r="AD48" s="61" t="s">
        <v>1280</v>
      </c>
      <c r="AE48" s="61" t="s">
        <v>138</v>
      </c>
      <c r="AF48" s="62" t="s">
        <v>456</v>
      </c>
      <c r="AG48" s="61" t="s">
        <v>150</v>
      </c>
      <c r="AH48" s="61" t="s">
        <v>453</v>
      </c>
      <c r="AI48" s="63" t="s">
        <v>160</v>
      </c>
      <c r="AJ48" s="63" t="s">
        <v>417</v>
      </c>
      <c r="AK48" s="63" t="s">
        <v>816</v>
      </c>
      <c r="AL48" s="61" t="s">
        <v>138</v>
      </c>
      <c r="AM48" s="61" t="s">
        <v>150</v>
      </c>
      <c r="AN48" s="61" t="s">
        <v>138</v>
      </c>
      <c r="AO48" s="61" t="s">
        <v>150</v>
      </c>
      <c r="AP48" s="77" t="s">
        <v>842</v>
      </c>
      <c r="AQ48" s="61" t="s">
        <v>863</v>
      </c>
      <c r="AR48" s="61" t="s">
        <v>1080</v>
      </c>
      <c r="AS48" s="61" t="s">
        <v>1417</v>
      </c>
      <c r="AT48" s="61" t="s">
        <v>1282</v>
      </c>
      <c r="AU48" s="67" t="s">
        <v>1074</v>
      </c>
      <c r="AV48" s="144" t="s">
        <v>1478</v>
      </c>
      <c r="AW48" s="62"/>
      <c r="AX48" s="61" t="s">
        <v>1359</v>
      </c>
      <c r="AY48" s="61" t="s">
        <v>1309</v>
      </c>
      <c r="AZ48" s="77" t="s">
        <v>843</v>
      </c>
      <c r="BA48" s="77" t="s">
        <v>844</v>
      </c>
      <c r="BB48" s="64" t="s">
        <v>215</v>
      </c>
      <c r="BC48" s="61"/>
      <c r="BD48" s="61"/>
      <c r="BE48" s="149">
        <v>508823.87112200353</v>
      </c>
      <c r="BF48" s="61" t="s">
        <v>150</v>
      </c>
      <c r="BG48" s="65" t="s">
        <v>342</v>
      </c>
      <c r="BH48" s="144"/>
      <c r="BI48" s="62"/>
      <c r="BJ48" s="65" t="s">
        <v>179</v>
      </c>
      <c r="BK48" s="65" t="s">
        <v>215</v>
      </c>
      <c r="BL48" s="65"/>
      <c r="BM48" s="66"/>
      <c r="BN48" s="66"/>
      <c r="BO48" s="66"/>
      <c r="BP48" s="66"/>
      <c r="BQ48" s="66"/>
    </row>
    <row r="49" spans="1:69" ht="15.6" customHeight="1">
      <c r="A49" s="66">
        <v>5666</v>
      </c>
      <c r="B49" s="80" t="s">
        <v>458</v>
      </c>
      <c r="C49" s="65" t="s">
        <v>212</v>
      </c>
      <c r="D49" s="53">
        <v>46387</v>
      </c>
      <c r="E49" s="90" t="s">
        <v>1081</v>
      </c>
      <c r="F49" s="85"/>
      <c r="G49" s="85"/>
      <c r="H49" s="83" t="s">
        <v>1479</v>
      </c>
      <c r="I49" s="61" t="s">
        <v>681</v>
      </c>
      <c r="J49" s="61"/>
      <c r="K49" s="61"/>
      <c r="L49" s="61"/>
      <c r="M49" s="65" t="s">
        <v>1276</v>
      </c>
      <c r="N49" s="85" t="s">
        <v>814</v>
      </c>
      <c r="O49" s="64">
        <v>46387</v>
      </c>
      <c r="P49" s="85">
        <v>1</v>
      </c>
      <c r="Q49" s="157" t="s">
        <v>1353</v>
      </c>
      <c r="R49" s="151" t="s">
        <v>1434</v>
      </c>
      <c r="S49" s="152">
        <v>36792</v>
      </c>
      <c r="T49" s="153"/>
      <c r="U49" s="158" t="s">
        <v>1363</v>
      </c>
      <c r="V49" s="158" t="s">
        <v>1363</v>
      </c>
      <c r="W49" s="155" t="s">
        <v>1363</v>
      </c>
      <c r="X49" s="155" t="s">
        <v>1363</v>
      </c>
      <c r="Y49" s="155" t="s">
        <v>1363</v>
      </c>
      <c r="Z49" s="156">
        <v>85503.182816267159</v>
      </c>
      <c r="AA49" s="147" t="s">
        <v>1404</v>
      </c>
      <c r="AB49" s="61" t="s">
        <v>1363</v>
      </c>
      <c r="AC49" s="61" t="s">
        <v>1363</v>
      </c>
      <c r="AD49" s="61" t="s">
        <v>1363</v>
      </c>
      <c r="AE49" s="61" t="s">
        <v>138</v>
      </c>
      <c r="AF49" s="62" t="s">
        <v>461</v>
      </c>
      <c r="AG49" s="61" t="s">
        <v>150</v>
      </c>
      <c r="AH49" s="65" t="s">
        <v>462</v>
      </c>
      <c r="AI49" s="91" t="s">
        <v>217</v>
      </c>
      <c r="AJ49" s="63" t="s">
        <v>216</v>
      </c>
      <c r="AK49" s="63" t="s">
        <v>217</v>
      </c>
      <c r="AL49" s="63" t="s">
        <v>138</v>
      </c>
      <c r="AM49" s="63" t="s">
        <v>150</v>
      </c>
      <c r="AN49" s="63" t="s">
        <v>138</v>
      </c>
      <c r="AO49" s="63" t="s">
        <v>216</v>
      </c>
      <c r="AP49" s="63" t="s">
        <v>216</v>
      </c>
      <c r="AQ49" s="61" t="s">
        <v>863</v>
      </c>
      <c r="AR49" s="61" t="s">
        <v>1087</v>
      </c>
      <c r="AS49" s="65" t="s">
        <v>1480</v>
      </c>
      <c r="AT49" s="65" t="s">
        <v>1282</v>
      </c>
      <c r="AU49" s="61" t="s">
        <v>858</v>
      </c>
      <c r="AV49" s="144" t="s">
        <v>1481</v>
      </c>
      <c r="AW49" s="62"/>
      <c r="AX49" s="61" t="s">
        <v>1359</v>
      </c>
      <c r="AY49" s="61" t="s">
        <v>776</v>
      </c>
      <c r="AZ49" s="63" t="s">
        <v>776</v>
      </c>
      <c r="BA49" s="63" t="s">
        <v>776</v>
      </c>
      <c r="BB49" s="64" t="s">
        <v>215</v>
      </c>
      <c r="BC49" s="61"/>
      <c r="BD49" s="61"/>
      <c r="BE49" s="149">
        <v>85503</v>
      </c>
      <c r="BF49" s="65" t="s">
        <v>150</v>
      </c>
      <c r="BG49" s="65" t="s">
        <v>342</v>
      </c>
      <c r="BH49" s="165" t="s">
        <v>1427</v>
      </c>
      <c r="BI49" s="65"/>
      <c r="BJ49" s="65" t="s">
        <v>179</v>
      </c>
      <c r="BK49" s="65" t="s">
        <v>215</v>
      </c>
      <c r="BL49" s="65"/>
      <c r="BM49" s="66"/>
      <c r="BN49" s="66"/>
      <c r="BO49" s="66"/>
      <c r="BP49" s="66"/>
      <c r="BQ49" s="66"/>
    </row>
    <row r="50" spans="1:69" ht="15.6" customHeight="1">
      <c r="A50" s="66">
        <v>5668</v>
      </c>
      <c r="B50" s="80" t="s">
        <v>464</v>
      </c>
      <c r="C50" s="65" t="s">
        <v>212</v>
      </c>
      <c r="D50" s="53">
        <v>46387</v>
      </c>
      <c r="E50" s="90" t="s">
        <v>1081</v>
      </c>
      <c r="F50" s="85" t="s">
        <v>546</v>
      </c>
      <c r="G50" s="85"/>
      <c r="H50" s="83" t="s">
        <v>465</v>
      </c>
      <c r="I50" s="61" t="s">
        <v>681</v>
      </c>
      <c r="J50" s="61"/>
      <c r="K50" s="61"/>
      <c r="L50" s="61"/>
      <c r="M50" s="65" t="s">
        <v>1276</v>
      </c>
      <c r="N50" s="85" t="s">
        <v>920</v>
      </c>
      <c r="O50" s="64">
        <v>46387</v>
      </c>
      <c r="P50" s="85">
        <v>1</v>
      </c>
      <c r="Q50" s="157" t="s">
        <v>1353</v>
      </c>
      <c r="R50" s="151" t="s">
        <v>1434</v>
      </c>
      <c r="S50" s="152">
        <v>0</v>
      </c>
      <c r="T50" s="153"/>
      <c r="U50" s="158" t="s">
        <v>1279</v>
      </c>
      <c r="V50" s="158" t="s">
        <v>1280</v>
      </c>
      <c r="W50" s="155" t="s">
        <v>1279</v>
      </c>
      <c r="X50" s="155" t="s">
        <v>1280</v>
      </c>
      <c r="Y50" s="155" t="s">
        <v>1280</v>
      </c>
      <c r="Z50" s="156">
        <v>33128.669779300239</v>
      </c>
      <c r="AA50" s="147" t="s">
        <v>1423</v>
      </c>
      <c r="AB50" s="61" t="s">
        <v>1279</v>
      </c>
      <c r="AC50" s="61" t="s">
        <v>1280</v>
      </c>
      <c r="AD50" s="61" t="s">
        <v>1280</v>
      </c>
      <c r="AE50" s="61" t="s">
        <v>150</v>
      </c>
      <c r="AF50" s="62" t="s">
        <v>466</v>
      </c>
      <c r="AG50" s="61" t="s">
        <v>150</v>
      </c>
      <c r="AH50" s="61" t="s">
        <v>216</v>
      </c>
      <c r="AI50" s="63" t="s">
        <v>216</v>
      </c>
      <c r="AJ50" s="63" t="s">
        <v>216</v>
      </c>
      <c r="AK50" s="63" t="s">
        <v>438</v>
      </c>
      <c r="AL50" s="61" t="s">
        <v>138</v>
      </c>
      <c r="AM50" s="61" t="s">
        <v>150</v>
      </c>
      <c r="AN50" s="61" t="s">
        <v>150</v>
      </c>
      <c r="AO50" s="61" t="s">
        <v>150</v>
      </c>
      <c r="AP50" s="63" t="s">
        <v>216</v>
      </c>
      <c r="AQ50" s="61" t="s">
        <v>863</v>
      </c>
      <c r="AR50" s="61" t="s">
        <v>1092</v>
      </c>
      <c r="AS50" s="61" t="s">
        <v>546</v>
      </c>
      <c r="AT50" s="61" t="s">
        <v>1282</v>
      </c>
      <c r="AU50" s="61" t="s">
        <v>216</v>
      </c>
      <c r="AV50" s="144"/>
      <c r="AW50" s="62"/>
      <c r="AX50" s="61" t="s">
        <v>1359</v>
      </c>
      <c r="AY50" s="61" t="s">
        <v>776</v>
      </c>
      <c r="AZ50" s="63" t="s">
        <v>216</v>
      </c>
      <c r="BA50" s="63" t="s">
        <v>216</v>
      </c>
      <c r="BB50" s="64" t="s">
        <v>215</v>
      </c>
      <c r="BC50" s="61"/>
      <c r="BD50" s="61"/>
      <c r="BE50" s="149">
        <v>33128.669779300239</v>
      </c>
      <c r="BF50" s="61" t="s">
        <v>150</v>
      </c>
      <c r="BG50" s="65" t="s">
        <v>342</v>
      </c>
      <c r="BH50" s="161"/>
      <c r="BI50" s="86"/>
      <c r="BJ50" s="65" t="s">
        <v>179</v>
      </c>
      <c r="BK50" s="65" t="s">
        <v>215</v>
      </c>
      <c r="BL50" s="65"/>
      <c r="BM50" s="66"/>
      <c r="BN50" s="66"/>
      <c r="BO50" s="66"/>
      <c r="BP50" s="66"/>
      <c r="BQ50" s="66"/>
    </row>
    <row r="51" spans="1:69" ht="15.6" customHeight="1">
      <c r="A51" s="66">
        <v>5670</v>
      </c>
      <c r="B51" s="80" t="s">
        <v>468</v>
      </c>
      <c r="C51" s="61" t="s">
        <v>212</v>
      </c>
      <c r="D51" s="53">
        <v>46387</v>
      </c>
      <c r="E51" s="67" t="s">
        <v>925</v>
      </c>
      <c r="F51" s="85" t="s">
        <v>439</v>
      </c>
      <c r="G51" s="94" t="s">
        <v>1099</v>
      </c>
      <c r="H51" s="83" t="s">
        <v>1482</v>
      </c>
      <c r="I51" s="61" t="s">
        <v>681</v>
      </c>
      <c r="J51" s="61"/>
      <c r="K51" s="61" t="s">
        <v>138</v>
      </c>
      <c r="L51" s="61"/>
      <c r="M51" s="65" t="s">
        <v>1276</v>
      </c>
      <c r="N51" s="85" t="s">
        <v>814</v>
      </c>
      <c r="O51" s="82">
        <v>46157</v>
      </c>
      <c r="P51" s="85">
        <v>1</v>
      </c>
      <c r="Q51" s="157" t="s">
        <v>1279</v>
      </c>
      <c r="R51" s="151" t="s">
        <v>1367</v>
      </c>
      <c r="S51" s="152">
        <v>0</v>
      </c>
      <c r="T51" s="153"/>
      <c r="U51" s="158" t="s">
        <v>1363</v>
      </c>
      <c r="V51" s="158" t="s">
        <v>1363</v>
      </c>
      <c r="W51" s="155" t="s">
        <v>1279</v>
      </c>
      <c r="X51" s="155" t="s">
        <v>1280</v>
      </c>
      <c r="Y51" s="155" t="s">
        <v>1280</v>
      </c>
      <c r="Z51" s="156">
        <v>16564.334889650119</v>
      </c>
      <c r="AA51" s="147" t="s">
        <v>1423</v>
      </c>
      <c r="AB51" s="61" t="s">
        <v>1279</v>
      </c>
      <c r="AC51" s="61" t="s">
        <v>1280</v>
      </c>
      <c r="AD51" s="61" t="s">
        <v>1280</v>
      </c>
      <c r="AE51" s="61" t="s">
        <v>138</v>
      </c>
      <c r="AF51" s="62" t="s">
        <v>470</v>
      </c>
      <c r="AG51" s="61" t="s">
        <v>138</v>
      </c>
      <c r="AH51" s="61" t="s">
        <v>468</v>
      </c>
      <c r="AI51" s="87" t="s">
        <v>160</v>
      </c>
      <c r="AJ51" s="63" t="s">
        <v>417</v>
      </c>
      <c r="AK51" s="63" t="s">
        <v>816</v>
      </c>
      <c r="AL51" s="61" t="s">
        <v>138</v>
      </c>
      <c r="AM51" s="61" t="s">
        <v>138</v>
      </c>
      <c r="AN51" s="61" t="s">
        <v>150</v>
      </c>
      <c r="AO51" s="77" t="s">
        <v>138</v>
      </c>
      <c r="AP51" s="77" t="s">
        <v>842</v>
      </c>
      <c r="AQ51" s="61" t="s">
        <v>863</v>
      </c>
      <c r="AR51" s="61" t="s">
        <v>1098</v>
      </c>
      <c r="AS51" s="61" t="s">
        <v>1483</v>
      </c>
      <c r="AT51" s="61" t="s">
        <v>1282</v>
      </c>
      <c r="AU51" s="61" t="s">
        <v>905</v>
      </c>
      <c r="AV51" s="144" t="s">
        <v>1484</v>
      </c>
      <c r="AW51" s="62"/>
      <c r="AX51" s="61" t="s">
        <v>1359</v>
      </c>
      <c r="AY51" s="61" t="s">
        <v>1309</v>
      </c>
      <c r="AZ51" s="77" t="s">
        <v>843</v>
      </c>
      <c r="BA51" s="77" t="s">
        <v>844</v>
      </c>
      <c r="BB51" s="64" t="s">
        <v>215</v>
      </c>
      <c r="BC51" s="61"/>
      <c r="BD51" s="61"/>
      <c r="BE51" s="149">
        <v>16564.334889650119</v>
      </c>
      <c r="BF51" s="61" t="s">
        <v>150</v>
      </c>
      <c r="BG51" s="65" t="s">
        <v>342</v>
      </c>
      <c r="BH51" s="161"/>
      <c r="BI51" s="86"/>
      <c r="BJ51" s="65" t="s">
        <v>179</v>
      </c>
      <c r="BK51" s="65" t="s">
        <v>215</v>
      </c>
      <c r="BL51" s="65"/>
      <c r="BM51" s="66"/>
      <c r="BN51" s="66"/>
      <c r="BO51" s="66"/>
      <c r="BP51" s="66"/>
      <c r="BQ51" s="66"/>
    </row>
    <row r="52" spans="1:69" ht="15.6" customHeight="1">
      <c r="A52" s="66">
        <v>5712</v>
      </c>
      <c r="B52" s="80" t="s">
        <v>472</v>
      </c>
      <c r="C52" s="65" t="s">
        <v>223</v>
      </c>
      <c r="D52" s="53">
        <v>46112</v>
      </c>
      <c r="E52" s="63" t="s">
        <v>472</v>
      </c>
      <c r="F52" s="85" t="s">
        <v>866</v>
      </c>
      <c r="G52" s="95" t="s">
        <v>1485</v>
      </c>
      <c r="H52" s="83" t="s">
        <v>473</v>
      </c>
      <c r="I52" s="61" t="s">
        <v>681</v>
      </c>
      <c r="J52" s="61"/>
      <c r="K52" s="61"/>
      <c r="L52" s="61" t="s">
        <v>150</v>
      </c>
      <c r="M52" s="65" t="s">
        <v>1276</v>
      </c>
      <c r="N52" s="85" t="s">
        <v>949</v>
      </c>
      <c r="O52" s="82">
        <v>46387</v>
      </c>
      <c r="P52" s="85">
        <v>1</v>
      </c>
      <c r="Q52" s="157" t="s">
        <v>1353</v>
      </c>
      <c r="R52" s="151" t="s">
        <v>1354</v>
      </c>
      <c r="S52" s="152">
        <v>36792</v>
      </c>
      <c r="T52" s="153"/>
      <c r="U52" s="158" t="s">
        <v>1279</v>
      </c>
      <c r="V52" s="158" t="s">
        <v>1288</v>
      </c>
      <c r="W52" s="155" t="s">
        <v>1279</v>
      </c>
      <c r="X52" s="155" t="s">
        <v>1288</v>
      </c>
      <c r="Y52" s="155" t="s">
        <v>1288</v>
      </c>
      <c r="Z52" s="156">
        <v>28921.591408133576</v>
      </c>
      <c r="AA52" s="147" t="s">
        <v>1404</v>
      </c>
      <c r="AB52" s="61" t="s">
        <v>1279</v>
      </c>
      <c r="AC52" s="61" t="s">
        <v>1288</v>
      </c>
      <c r="AD52" s="61" t="s">
        <v>1288</v>
      </c>
      <c r="AE52" s="61" t="s">
        <v>138</v>
      </c>
      <c r="AF52" s="62" t="s">
        <v>475</v>
      </c>
      <c r="AG52" s="61" t="s">
        <v>150</v>
      </c>
      <c r="AH52" s="61" t="s">
        <v>472</v>
      </c>
      <c r="AI52" s="63" t="s">
        <v>217</v>
      </c>
      <c r="AJ52" s="63" t="s">
        <v>216</v>
      </c>
      <c r="AK52" s="63" t="s">
        <v>1042</v>
      </c>
      <c r="AL52" s="61" t="s">
        <v>216</v>
      </c>
      <c r="AM52" s="61" t="s">
        <v>216</v>
      </c>
      <c r="AN52" s="61" t="s">
        <v>216</v>
      </c>
      <c r="AO52" s="61" t="s">
        <v>216</v>
      </c>
      <c r="AP52" s="63" t="s">
        <v>216</v>
      </c>
      <c r="AQ52" s="61" t="s">
        <v>1486</v>
      </c>
      <c r="AR52" s="61" t="s">
        <v>1487</v>
      </c>
      <c r="AS52" s="61" t="s">
        <v>933</v>
      </c>
      <c r="AT52" s="61" t="s">
        <v>216</v>
      </c>
      <c r="AU52" s="61" t="s">
        <v>1488</v>
      </c>
      <c r="AV52" s="144" t="s">
        <v>1489</v>
      </c>
      <c r="AW52" s="62"/>
      <c r="AX52" s="61" t="s">
        <v>1387</v>
      </c>
      <c r="AY52" s="61" t="s">
        <v>776</v>
      </c>
      <c r="AZ52" s="63" t="s">
        <v>776</v>
      </c>
      <c r="BA52" s="63" t="s">
        <v>776</v>
      </c>
      <c r="BB52" s="52" t="s">
        <v>216</v>
      </c>
      <c r="BC52" s="61">
        <v>1012685</v>
      </c>
      <c r="BD52" s="61" t="s">
        <v>216</v>
      </c>
      <c r="BE52" s="149">
        <v>28921.591408133576</v>
      </c>
      <c r="BF52" s="61" t="s">
        <v>1490</v>
      </c>
      <c r="BG52" s="61" t="s">
        <v>1491</v>
      </c>
      <c r="BH52" s="160"/>
      <c r="BI52" s="90"/>
      <c r="BJ52" s="65" t="s">
        <v>179</v>
      </c>
      <c r="BK52" s="65" t="s">
        <v>215</v>
      </c>
      <c r="BL52" s="65"/>
      <c r="BM52" s="66"/>
      <c r="BN52" s="66"/>
      <c r="BO52" s="66"/>
      <c r="BP52" s="66"/>
      <c r="BQ52" s="66"/>
    </row>
    <row r="53" spans="1:69" ht="15.6" customHeight="1">
      <c r="A53" s="66">
        <v>5713</v>
      </c>
      <c r="B53" s="80" t="s">
        <v>477</v>
      </c>
      <c r="C53" s="65" t="s">
        <v>212</v>
      </c>
      <c r="D53" s="53">
        <v>46387</v>
      </c>
      <c r="E53" s="90" t="s">
        <v>1081</v>
      </c>
      <c r="F53" s="85" t="s">
        <v>933</v>
      </c>
      <c r="G53" s="85"/>
      <c r="H53" s="83" t="s">
        <v>478</v>
      </c>
      <c r="I53" s="61" t="s">
        <v>681</v>
      </c>
      <c r="J53" s="61"/>
      <c r="K53" s="61"/>
      <c r="L53" s="61"/>
      <c r="M53" s="65" t="s">
        <v>1276</v>
      </c>
      <c r="N53" s="85" t="s">
        <v>1042</v>
      </c>
      <c r="O53" s="64">
        <v>46387</v>
      </c>
      <c r="P53" s="85">
        <v>1</v>
      </c>
      <c r="Q53" s="157" t="s">
        <v>1353</v>
      </c>
      <c r="R53" s="151" t="s">
        <v>1434</v>
      </c>
      <c r="S53" s="152">
        <v>36792</v>
      </c>
      <c r="T53" s="153"/>
      <c r="U53" s="158" t="s">
        <v>1279</v>
      </c>
      <c r="V53" s="158" t="s">
        <v>1288</v>
      </c>
      <c r="W53" s="155" t="s">
        <v>1279</v>
      </c>
      <c r="X53" s="155" t="s">
        <v>1288</v>
      </c>
      <c r="Y53" s="155" t="s">
        <v>1288</v>
      </c>
      <c r="Z53" s="156">
        <v>28921.591408133576</v>
      </c>
      <c r="AA53" s="147" t="s">
        <v>1404</v>
      </c>
      <c r="AB53" s="61" t="s">
        <v>1279</v>
      </c>
      <c r="AC53" s="61" t="s">
        <v>1288</v>
      </c>
      <c r="AD53" s="61" t="s">
        <v>1288</v>
      </c>
      <c r="AE53" s="61" t="s">
        <v>150</v>
      </c>
      <c r="AF53" s="62" t="s">
        <v>475</v>
      </c>
      <c r="AG53" s="61" t="s">
        <v>1091</v>
      </c>
      <c r="AH53" s="61" t="s">
        <v>479</v>
      </c>
      <c r="AI53" s="63" t="s">
        <v>217</v>
      </c>
      <c r="AJ53" s="63" t="s">
        <v>216</v>
      </c>
      <c r="AK53" s="63" t="s">
        <v>1042</v>
      </c>
      <c r="AL53" s="61" t="s">
        <v>138</v>
      </c>
      <c r="AM53" s="61" t="s">
        <v>150</v>
      </c>
      <c r="AN53" s="61" t="s">
        <v>150</v>
      </c>
      <c r="AO53" s="61" t="s">
        <v>216</v>
      </c>
      <c r="AP53" s="63" t="s">
        <v>216</v>
      </c>
      <c r="AQ53" s="61" t="s">
        <v>863</v>
      </c>
      <c r="AR53" s="61" t="s">
        <v>1103</v>
      </c>
      <c r="AS53" s="61" t="s">
        <v>1492</v>
      </c>
      <c r="AT53" s="61" t="s">
        <v>1282</v>
      </c>
      <c r="AU53" s="61" t="s">
        <v>1100</v>
      </c>
      <c r="AV53" s="144" t="s">
        <v>1493</v>
      </c>
      <c r="AW53" s="62"/>
      <c r="AX53" s="61" t="s">
        <v>1359</v>
      </c>
      <c r="AY53" s="61" t="s">
        <v>776</v>
      </c>
      <c r="AZ53" s="63" t="s">
        <v>776</v>
      </c>
      <c r="BA53" s="63" t="s">
        <v>776</v>
      </c>
      <c r="BB53" s="64" t="s">
        <v>215</v>
      </c>
      <c r="BC53" s="61"/>
      <c r="BD53" s="61"/>
      <c r="BE53" s="149">
        <v>28921.591408133576</v>
      </c>
      <c r="BF53" s="61" t="s">
        <v>138</v>
      </c>
      <c r="BG53" s="61" t="s">
        <v>391</v>
      </c>
      <c r="BH53" s="161"/>
      <c r="BI53" s="86"/>
      <c r="BJ53" s="65" t="s">
        <v>179</v>
      </c>
      <c r="BK53" s="65" t="s">
        <v>215</v>
      </c>
      <c r="BL53" s="65"/>
      <c r="BM53" s="66"/>
      <c r="BN53" s="66"/>
      <c r="BO53" s="66"/>
      <c r="BP53" s="66"/>
      <c r="BQ53" s="66"/>
    </row>
    <row r="54" spans="1:69" ht="15.6" customHeight="1">
      <c r="A54" s="66">
        <v>5717</v>
      </c>
      <c r="B54" s="80" t="s">
        <v>481</v>
      </c>
      <c r="C54" s="65" t="s">
        <v>212</v>
      </c>
      <c r="D54" s="53">
        <v>46387</v>
      </c>
      <c r="E54" s="90" t="s">
        <v>443</v>
      </c>
      <c r="F54" s="90" t="s">
        <v>1109</v>
      </c>
      <c r="G54" s="90"/>
      <c r="H54" s="83" t="s">
        <v>481</v>
      </c>
      <c r="I54" s="61" t="s">
        <v>681</v>
      </c>
      <c r="J54" s="61"/>
      <c r="K54" s="61"/>
      <c r="L54" s="61" t="s">
        <v>150</v>
      </c>
      <c r="M54" s="65" t="s">
        <v>1276</v>
      </c>
      <c r="N54" s="85" t="s">
        <v>814</v>
      </c>
      <c r="O54" s="64">
        <v>46387</v>
      </c>
      <c r="P54" s="85">
        <v>1</v>
      </c>
      <c r="Q54" s="157" t="s">
        <v>1279</v>
      </c>
      <c r="R54" s="151" t="s">
        <v>1367</v>
      </c>
      <c r="S54" s="152">
        <v>0</v>
      </c>
      <c r="T54" s="153"/>
      <c r="U54" s="158" t="s">
        <v>1279</v>
      </c>
      <c r="V54" s="158" t="s">
        <v>1280</v>
      </c>
      <c r="W54" s="155" t="s">
        <v>1279</v>
      </c>
      <c r="X54" s="155" t="s">
        <v>1280</v>
      </c>
      <c r="Y54" s="155" t="s">
        <v>1280</v>
      </c>
      <c r="Z54" s="156">
        <v>10938.027782581672</v>
      </c>
      <c r="AA54" s="147" t="s">
        <v>1393</v>
      </c>
      <c r="AB54" s="61" t="s">
        <v>1279</v>
      </c>
      <c r="AC54" s="61" t="s">
        <v>1280</v>
      </c>
      <c r="AD54" s="61" t="s">
        <v>1280</v>
      </c>
      <c r="AE54" s="61" t="s">
        <v>138</v>
      </c>
      <c r="AF54" s="62" t="s">
        <v>482</v>
      </c>
      <c r="AG54" s="61" t="s">
        <v>150</v>
      </c>
      <c r="AH54" s="61" t="s">
        <v>443</v>
      </c>
      <c r="AI54" s="91" t="s">
        <v>217</v>
      </c>
      <c r="AJ54" s="63" t="s">
        <v>216</v>
      </c>
      <c r="AK54" s="63" t="s">
        <v>438</v>
      </c>
      <c r="AL54" s="63" t="s">
        <v>138</v>
      </c>
      <c r="AM54" s="63" t="s">
        <v>150</v>
      </c>
      <c r="AN54" s="63" t="s">
        <v>138</v>
      </c>
      <c r="AO54" s="63" t="s">
        <v>150</v>
      </c>
      <c r="AP54" s="63" t="s">
        <v>216</v>
      </c>
      <c r="AQ54" s="61" t="s">
        <v>863</v>
      </c>
      <c r="AR54" s="61" t="s">
        <v>1107</v>
      </c>
      <c r="AS54" s="61" t="s">
        <v>1494</v>
      </c>
      <c r="AT54" s="61" t="s">
        <v>1282</v>
      </c>
      <c r="AU54" s="61" t="s">
        <v>905</v>
      </c>
      <c r="AV54" s="141" t="s">
        <v>1495</v>
      </c>
      <c r="AW54" s="164" t="s">
        <v>1496</v>
      </c>
      <c r="AX54" s="61" t="s">
        <v>1359</v>
      </c>
      <c r="AY54" s="61" t="s">
        <v>776</v>
      </c>
      <c r="AZ54" s="63" t="s">
        <v>776</v>
      </c>
      <c r="BA54" s="63" t="s">
        <v>776</v>
      </c>
      <c r="BB54" s="64" t="s">
        <v>215</v>
      </c>
      <c r="BC54" s="61"/>
      <c r="BD54" s="61"/>
      <c r="BE54" s="142">
        <v>10938</v>
      </c>
      <c r="BF54" s="65" t="s">
        <v>1497</v>
      </c>
      <c r="BG54" s="65" t="s">
        <v>342</v>
      </c>
      <c r="BH54" s="163" t="s">
        <v>1398</v>
      </c>
      <c r="BI54" s="60"/>
      <c r="BJ54" s="65" t="s">
        <v>179</v>
      </c>
      <c r="BK54" s="65"/>
      <c r="BL54" s="65"/>
      <c r="BM54" s="66"/>
      <c r="BN54" s="66"/>
      <c r="BO54" s="66"/>
      <c r="BP54" s="66"/>
      <c r="BQ54" s="66"/>
    </row>
    <row r="55" spans="1:69" ht="15.6" customHeight="1">
      <c r="A55" s="66">
        <v>5720</v>
      </c>
      <c r="B55" s="80" t="s">
        <v>484</v>
      </c>
      <c r="C55" s="65" t="s">
        <v>212</v>
      </c>
      <c r="D55" s="53">
        <v>46387</v>
      </c>
      <c r="E55" s="64" t="s">
        <v>998</v>
      </c>
      <c r="F55" s="64"/>
      <c r="G55" s="64"/>
      <c r="H55" s="83" t="s">
        <v>1498</v>
      </c>
      <c r="I55" s="61" t="s">
        <v>681</v>
      </c>
      <c r="J55" s="61"/>
      <c r="K55" s="61"/>
      <c r="L55" s="61"/>
      <c r="M55" s="65" t="s">
        <v>1276</v>
      </c>
      <c r="N55" s="85" t="s">
        <v>814</v>
      </c>
      <c r="O55" s="64">
        <v>46387</v>
      </c>
      <c r="P55" s="85">
        <v>1</v>
      </c>
      <c r="Q55" s="157" t="s">
        <v>1353</v>
      </c>
      <c r="R55" s="151" t="s">
        <v>1354</v>
      </c>
      <c r="S55" s="152">
        <v>134081</v>
      </c>
      <c r="T55" s="153"/>
      <c r="U55" s="158" t="s">
        <v>1363</v>
      </c>
      <c r="V55" s="158" t="s">
        <v>1363</v>
      </c>
      <c r="W55" s="155" t="s">
        <v>1363</v>
      </c>
      <c r="X55" s="155" t="s">
        <v>1363</v>
      </c>
      <c r="Y55" s="155" t="s">
        <v>1363</v>
      </c>
      <c r="Z55" s="156">
        <v>33128.669779300239</v>
      </c>
      <c r="AA55" s="147" t="s">
        <v>1423</v>
      </c>
      <c r="AB55" s="61" t="s">
        <v>1363</v>
      </c>
      <c r="AC55" s="61" t="s">
        <v>1363</v>
      </c>
      <c r="AD55" s="61" t="s">
        <v>1363</v>
      </c>
      <c r="AE55" s="61" t="s">
        <v>138</v>
      </c>
      <c r="AF55" s="62" t="s">
        <v>486</v>
      </c>
      <c r="AG55" s="61" t="s">
        <v>150</v>
      </c>
      <c r="AH55" s="61" t="s">
        <v>487</v>
      </c>
      <c r="AI55" s="63" t="s">
        <v>217</v>
      </c>
      <c r="AJ55" s="63" t="s">
        <v>216</v>
      </c>
      <c r="AK55" s="63" t="s">
        <v>816</v>
      </c>
      <c r="AL55" s="61" t="s">
        <v>138</v>
      </c>
      <c r="AM55" s="61" t="s">
        <v>138</v>
      </c>
      <c r="AN55" s="61" t="s">
        <v>150</v>
      </c>
      <c r="AO55" s="61" t="s">
        <v>150</v>
      </c>
      <c r="AP55" s="63" t="s">
        <v>216</v>
      </c>
      <c r="AQ55" s="61" t="s">
        <v>863</v>
      </c>
      <c r="AR55" s="61"/>
      <c r="AS55" s="61" t="s">
        <v>1450</v>
      </c>
      <c r="AT55" s="61" t="s">
        <v>1282</v>
      </c>
      <c r="AU55" s="61" t="s">
        <v>1110</v>
      </c>
      <c r="AV55" s="144" t="s">
        <v>1499</v>
      </c>
      <c r="AW55" s="62"/>
      <c r="AX55" s="61" t="s">
        <v>1359</v>
      </c>
      <c r="AY55" s="61" t="s">
        <v>776</v>
      </c>
      <c r="AZ55" s="63" t="s">
        <v>776</v>
      </c>
      <c r="BA55" s="63" t="s">
        <v>776</v>
      </c>
      <c r="BB55" s="64" t="s">
        <v>215</v>
      </c>
      <c r="BC55" s="61"/>
      <c r="BD55" s="61"/>
      <c r="BE55" s="149">
        <v>33128</v>
      </c>
      <c r="BF55" s="61" t="s">
        <v>1500</v>
      </c>
      <c r="BG55" s="65" t="s">
        <v>342</v>
      </c>
      <c r="BH55" s="161"/>
      <c r="BI55" s="86"/>
      <c r="BJ55" s="65" t="s">
        <v>179</v>
      </c>
      <c r="BK55" s="65" t="s">
        <v>215</v>
      </c>
      <c r="BL55" s="65"/>
      <c r="BM55" s="66"/>
      <c r="BN55" s="66"/>
      <c r="BO55" s="66"/>
      <c r="BP55" s="66"/>
      <c r="BQ55" s="66"/>
    </row>
    <row r="56" spans="1:69" ht="15.6" customHeight="1">
      <c r="A56" s="66">
        <v>6010</v>
      </c>
      <c r="B56" s="80" t="s">
        <v>489</v>
      </c>
      <c r="C56" s="65" t="s">
        <v>223</v>
      </c>
      <c r="D56" s="53">
        <v>46478</v>
      </c>
      <c r="E56" s="64" t="s">
        <v>874</v>
      </c>
      <c r="F56" s="82"/>
      <c r="G56" s="64" t="s">
        <v>697</v>
      </c>
      <c r="H56" s="83" t="s">
        <v>490</v>
      </c>
      <c r="I56" s="61" t="s">
        <v>681</v>
      </c>
      <c r="J56" s="61"/>
      <c r="K56" s="61"/>
      <c r="L56" s="61"/>
      <c r="M56" s="65" t="s">
        <v>1276</v>
      </c>
      <c r="N56" s="85" t="s">
        <v>655</v>
      </c>
      <c r="O56" s="64">
        <v>46478</v>
      </c>
      <c r="P56" s="85">
        <v>1</v>
      </c>
      <c r="Q56" s="157" t="s">
        <v>1353</v>
      </c>
      <c r="R56" s="151" t="s">
        <v>1354</v>
      </c>
      <c r="S56" s="152">
        <v>0</v>
      </c>
      <c r="T56" s="153"/>
      <c r="U56" s="158" t="s">
        <v>1279</v>
      </c>
      <c r="V56" s="158" t="s">
        <v>1288</v>
      </c>
      <c r="W56" s="155" t="s">
        <v>1279</v>
      </c>
      <c r="X56" s="155" t="s">
        <v>1288</v>
      </c>
      <c r="Y56" s="155" t="s">
        <v>1288</v>
      </c>
      <c r="Z56" s="156">
        <v>48100.581622092628</v>
      </c>
      <c r="AA56" s="147" t="s">
        <v>1355</v>
      </c>
      <c r="AB56" s="61" t="s">
        <v>1279</v>
      </c>
      <c r="AC56" s="61" t="s">
        <v>1288</v>
      </c>
      <c r="AD56" s="61" t="s">
        <v>1288</v>
      </c>
      <c r="AE56" s="61" t="s">
        <v>138</v>
      </c>
      <c r="AF56" s="62" t="s">
        <v>491</v>
      </c>
      <c r="AG56" s="61" t="s">
        <v>150</v>
      </c>
      <c r="AH56" s="61" t="s">
        <v>492</v>
      </c>
      <c r="AI56" s="63" t="s">
        <v>217</v>
      </c>
      <c r="AJ56" s="63" t="s">
        <v>216</v>
      </c>
      <c r="AK56" s="63" t="s">
        <v>438</v>
      </c>
      <c r="AL56" s="63" t="s">
        <v>138</v>
      </c>
      <c r="AM56" s="63" t="s">
        <v>138</v>
      </c>
      <c r="AN56" s="63" t="s">
        <v>138</v>
      </c>
      <c r="AO56" s="63" t="s">
        <v>150</v>
      </c>
      <c r="AP56" s="63" t="s">
        <v>216</v>
      </c>
      <c r="AQ56" s="61" t="s">
        <v>863</v>
      </c>
      <c r="AR56" s="61" t="s">
        <v>1501</v>
      </c>
      <c r="AS56" s="61" t="s">
        <v>1364</v>
      </c>
      <c r="AT56" s="61" t="s">
        <v>1282</v>
      </c>
      <c r="AU56" s="61" t="s">
        <v>1070</v>
      </c>
      <c r="AV56" s="144" t="s">
        <v>1502</v>
      </c>
      <c r="AW56" s="62"/>
      <c r="AX56" s="61" t="s">
        <v>1359</v>
      </c>
      <c r="AY56" s="61" t="s">
        <v>1474</v>
      </c>
      <c r="AZ56" s="63" t="s">
        <v>776</v>
      </c>
      <c r="BA56" s="63" t="s">
        <v>776</v>
      </c>
      <c r="BB56" s="64"/>
      <c r="BC56" s="61"/>
      <c r="BD56" s="61"/>
      <c r="BE56" s="149">
        <v>48100.581622092628</v>
      </c>
      <c r="BF56" s="61" t="s">
        <v>150</v>
      </c>
      <c r="BG56" s="61" t="s">
        <v>404</v>
      </c>
      <c r="BH56" s="161" t="s">
        <v>1285</v>
      </c>
      <c r="BI56" s="86"/>
      <c r="BJ56" s="65" t="s">
        <v>179</v>
      </c>
      <c r="BK56" s="65" t="s">
        <v>215</v>
      </c>
      <c r="BL56" s="65"/>
      <c r="BM56" s="66"/>
      <c r="BN56" s="66"/>
      <c r="BO56" s="66"/>
      <c r="BP56" s="66"/>
      <c r="BQ56" s="66"/>
    </row>
    <row r="57" spans="1:69" ht="15.6" customHeight="1">
      <c r="A57" s="66">
        <v>6096</v>
      </c>
      <c r="B57" s="96" t="s">
        <v>1503</v>
      </c>
      <c r="C57" s="65" t="s">
        <v>212</v>
      </c>
      <c r="D57" s="53">
        <v>46387</v>
      </c>
      <c r="E57" s="90" t="s">
        <v>443</v>
      </c>
      <c r="F57" s="85" t="s">
        <v>928</v>
      </c>
      <c r="G57" s="85"/>
      <c r="H57" s="83" t="s">
        <v>1504</v>
      </c>
      <c r="I57" s="61" t="s">
        <v>681</v>
      </c>
      <c r="J57" s="61"/>
      <c r="K57" s="61"/>
      <c r="L57" s="61" t="s">
        <v>150</v>
      </c>
      <c r="M57" s="65" t="s">
        <v>1276</v>
      </c>
      <c r="N57" s="85" t="s">
        <v>814</v>
      </c>
      <c r="O57" s="64">
        <v>46387</v>
      </c>
      <c r="P57" s="85">
        <v>1</v>
      </c>
      <c r="Q57" s="157" t="s">
        <v>1279</v>
      </c>
      <c r="R57" s="151" t="s">
        <v>1367</v>
      </c>
      <c r="S57" s="152">
        <v>0</v>
      </c>
      <c r="T57" s="153"/>
      <c r="U57" s="158" t="s">
        <v>1279</v>
      </c>
      <c r="V57" s="158" t="s">
        <v>1280</v>
      </c>
      <c r="W57" s="155" t="s">
        <v>1279</v>
      </c>
      <c r="X57" s="155" t="s">
        <v>1280</v>
      </c>
      <c r="Y57" s="155" t="s">
        <v>1280</v>
      </c>
      <c r="Z57" s="156">
        <v>0</v>
      </c>
      <c r="AA57" s="147" t="s">
        <v>1505</v>
      </c>
      <c r="AB57" s="61" t="s">
        <v>1279</v>
      </c>
      <c r="AC57" s="61" t="s">
        <v>1280</v>
      </c>
      <c r="AD57" s="61" t="s">
        <v>1280</v>
      </c>
      <c r="AE57" s="61" t="s">
        <v>138</v>
      </c>
      <c r="AF57" s="62" t="s">
        <v>496</v>
      </c>
      <c r="AG57" s="61" t="s">
        <v>150</v>
      </c>
      <c r="AH57" s="65" t="s">
        <v>443</v>
      </c>
      <c r="AI57" s="91" t="s">
        <v>217</v>
      </c>
      <c r="AJ57" s="63" t="s">
        <v>216</v>
      </c>
      <c r="AK57" s="91" t="s">
        <v>438</v>
      </c>
      <c r="AL57" s="63" t="s">
        <v>150</v>
      </c>
      <c r="AM57" s="63" t="s">
        <v>150</v>
      </c>
      <c r="AN57" s="63" t="s">
        <v>138</v>
      </c>
      <c r="AO57" s="63" t="s">
        <v>150</v>
      </c>
      <c r="AP57" s="63" t="s">
        <v>216</v>
      </c>
      <c r="AQ57" s="61" t="s">
        <v>863</v>
      </c>
      <c r="AR57" s="61" t="s">
        <v>1125</v>
      </c>
      <c r="AS57" s="61" t="s">
        <v>1506</v>
      </c>
      <c r="AT57" s="65" t="s">
        <v>1507</v>
      </c>
      <c r="AU57" s="61" t="s">
        <v>905</v>
      </c>
      <c r="AV57" s="141" t="s">
        <v>1508</v>
      </c>
      <c r="AW57" s="62"/>
      <c r="AX57" s="61" t="s">
        <v>1359</v>
      </c>
      <c r="AY57" s="61" t="s">
        <v>776</v>
      </c>
      <c r="AZ57" s="63" t="s">
        <v>776</v>
      </c>
      <c r="BA57" s="63" t="s">
        <v>776</v>
      </c>
      <c r="BB57" s="64" t="s">
        <v>215</v>
      </c>
      <c r="BC57" s="61"/>
      <c r="BD57" s="61"/>
      <c r="BE57" s="140" t="s">
        <v>1509</v>
      </c>
      <c r="BF57" s="61" t="s">
        <v>150</v>
      </c>
      <c r="BG57" s="65" t="s">
        <v>342</v>
      </c>
      <c r="BH57" s="163" t="s">
        <v>1398</v>
      </c>
      <c r="BI57" s="62"/>
      <c r="BJ57" s="65" t="s">
        <v>179</v>
      </c>
      <c r="BK57" s="65" t="s">
        <v>215</v>
      </c>
      <c r="BL57" s="65"/>
      <c r="BM57" s="66"/>
      <c r="BN57" s="66"/>
      <c r="BO57" s="66"/>
      <c r="BP57" s="66"/>
      <c r="BQ57" s="66"/>
    </row>
    <row r="58" spans="1:69" ht="15.6" customHeight="1">
      <c r="A58" s="66">
        <v>6393</v>
      </c>
      <c r="B58" s="80" t="s">
        <v>498</v>
      </c>
      <c r="C58" s="65" t="s">
        <v>223</v>
      </c>
      <c r="D58" s="81">
        <v>46478</v>
      </c>
      <c r="E58" s="64" t="s">
        <v>874</v>
      </c>
      <c r="F58" s="82"/>
      <c r="G58" s="64" t="s">
        <v>697</v>
      </c>
      <c r="H58" s="83" t="s">
        <v>499</v>
      </c>
      <c r="I58" s="61" t="s">
        <v>681</v>
      </c>
      <c r="J58" s="61"/>
      <c r="K58" s="61"/>
      <c r="L58" s="61"/>
      <c r="M58" s="65" t="s">
        <v>1276</v>
      </c>
      <c r="N58" s="85" t="s">
        <v>814</v>
      </c>
      <c r="O58" s="82"/>
      <c r="P58" s="85">
        <v>1</v>
      </c>
      <c r="Q58" s="157" t="s">
        <v>1279</v>
      </c>
      <c r="R58" s="151" t="s">
        <v>1362</v>
      </c>
      <c r="S58" s="152">
        <v>0</v>
      </c>
      <c r="T58" s="153"/>
      <c r="U58" s="158" t="s">
        <v>1363</v>
      </c>
      <c r="V58" s="158" t="s">
        <v>1363</v>
      </c>
      <c r="W58" s="155" t="s">
        <v>1363</v>
      </c>
      <c r="X58" s="155" t="s">
        <v>1363</v>
      </c>
      <c r="Y58" s="155" t="s">
        <v>1363</v>
      </c>
      <c r="Z58" s="156">
        <v>57843.182816267152</v>
      </c>
      <c r="AA58" s="147" t="s">
        <v>1404</v>
      </c>
      <c r="AB58" s="61" t="s">
        <v>1363</v>
      </c>
      <c r="AC58" s="61" t="s">
        <v>1363</v>
      </c>
      <c r="AD58" s="61" t="s">
        <v>1363</v>
      </c>
      <c r="AE58" s="61" t="s">
        <v>150</v>
      </c>
      <c r="AF58" s="62" t="s">
        <v>500</v>
      </c>
      <c r="AG58" s="61" t="s">
        <v>150</v>
      </c>
      <c r="AH58" s="65" t="s">
        <v>501</v>
      </c>
      <c r="AI58" s="91" t="s">
        <v>217</v>
      </c>
      <c r="AJ58" s="63" t="s">
        <v>216</v>
      </c>
      <c r="AK58" s="63" t="s">
        <v>1042</v>
      </c>
      <c r="AL58" s="61" t="s">
        <v>216</v>
      </c>
      <c r="AM58" s="61" t="s">
        <v>216</v>
      </c>
      <c r="AN58" s="61" t="s">
        <v>216</v>
      </c>
      <c r="AO58" s="61" t="s">
        <v>216</v>
      </c>
      <c r="AP58" s="63" t="s">
        <v>216</v>
      </c>
      <c r="AQ58" s="61" t="s">
        <v>863</v>
      </c>
      <c r="AR58" s="61" t="s">
        <v>1087</v>
      </c>
      <c r="AS58" s="65" t="s">
        <v>1480</v>
      </c>
      <c r="AT58" s="65"/>
      <c r="AU58" s="61" t="s">
        <v>858</v>
      </c>
      <c r="AV58" s="144"/>
      <c r="AW58" s="62"/>
      <c r="AX58" s="61" t="s">
        <v>1359</v>
      </c>
      <c r="AY58" s="61" t="s">
        <v>776</v>
      </c>
      <c r="AZ58" s="63" t="s">
        <v>776</v>
      </c>
      <c r="BA58" s="63" t="s">
        <v>776</v>
      </c>
      <c r="BB58" s="64"/>
      <c r="BC58" s="61"/>
      <c r="BD58" s="61"/>
      <c r="BE58" s="149">
        <v>57843</v>
      </c>
      <c r="BF58" s="65" t="s">
        <v>150</v>
      </c>
      <c r="BG58" s="65" t="s">
        <v>342</v>
      </c>
      <c r="BH58" s="161" t="s">
        <v>1427</v>
      </c>
      <c r="BI58" s="65"/>
      <c r="BJ58" s="65" t="s">
        <v>179</v>
      </c>
      <c r="BK58" s="65" t="s">
        <v>215</v>
      </c>
      <c r="BL58" s="65"/>
      <c r="BM58" s="66"/>
      <c r="BN58" s="66"/>
      <c r="BO58" s="66"/>
      <c r="BP58" s="66"/>
      <c r="BQ58" s="66"/>
    </row>
    <row r="59" spans="1:69" ht="15.6" customHeight="1">
      <c r="A59" s="66">
        <v>6397</v>
      </c>
      <c r="B59" s="80" t="s">
        <v>503</v>
      </c>
      <c r="C59" s="65" t="s">
        <v>212</v>
      </c>
      <c r="D59" s="81">
        <v>46387</v>
      </c>
      <c r="E59" s="90" t="s">
        <v>1081</v>
      </c>
      <c r="F59" s="85" t="s">
        <v>933</v>
      </c>
      <c r="G59" s="85"/>
      <c r="H59" s="83" t="s">
        <v>504</v>
      </c>
      <c r="I59" s="61" t="s">
        <v>681</v>
      </c>
      <c r="J59" s="61"/>
      <c r="K59" s="61"/>
      <c r="L59" s="61"/>
      <c r="M59" s="65" t="s">
        <v>1276</v>
      </c>
      <c r="N59" s="85" t="s">
        <v>1134</v>
      </c>
      <c r="O59" s="82">
        <v>46387</v>
      </c>
      <c r="P59" s="85">
        <v>1</v>
      </c>
      <c r="Q59" s="157" t="s">
        <v>1353</v>
      </c>
      <c r="R59" s="151" t="s">
        <v>1354</v>
      </c>
      <c r="S59" s="152">
        <v>0</v>
      </c>
      <c r="T59" s="153"/>
      <c r="U59" s="158" t="s">
        <v>1279</v>
      </c>
      <c r="V59" s="158" t="s">
        <v>1288</v>
      </c>
      <c r="W59" s="155" t="s">
        <v>1279</v>
      </c>
      <c r="X59" s="155" t="s">
        <v>1288</v>
      </c>
      <c r="Y59" s="155" t="s">
        <v>1288</v>
      </c>
      <c r="Z59" s="156">
        <v>33121.591408133572</v>
      </c>
      <c r="AA59" s="147" t="s">
        <v>1404</v>
      </c>
      <c r="AB59" s="61" t="s">
        <v>1279</v>
      </c>
      <c r="AC59" s="61" t="s">
        <v>1288</v>
      </c>
      <c r="AD59" s="61" t="s">
        <v>1288</v>
      </c>
      <c r="AE59" s="61" t="s">
        <v>138</v>
      </c>
      <c r="AF59" s="62" t="s">
        <v>505</v>
      </c>
      <c r="AG59" s="61" t="s">
        <v>150</v>
      </c>
      <c r="AH59" s="61" t="s">
        <v>503</v>
      </c>
      <c r="AI59" s="63" t="s">
        <v>217</v>
      </c>
      <c r="AJ59" s="63" t="s">
        <v>216</v>
      </c>
      <c r="AK59" s="63" t="s">
        <v>1042</v>
      </c>
      <c r="AL59" s="61" t="s">
        <v>138</v>
      </c>
      <c r="AM59" s="61" t="s">
        <v>150</v>
      </c>
      <c r="AN59" s="61" t="s">
        <v>138</v>
      </c>
      <c r="AO59" s="61" t="s">
        <v>150</v>
      </c>
      <c r="AP59" s="63" t="s">
        <v>216</v>
      </c>
      <c r="AQ59" s="61" t="s">
        <v>863</v>
      </c>
      <c r="AR59" s="61" t="s">
        <v>1136</v>
      </c>
      <c r="AS59" s="61" t="s">
        <v>933</v>
      </c>
      <c r="AT59" s="61" t="s">
        <v>1282</v>
      </c>
      <c r="AU59" s="61" t="s">
        <v>1133</v>
      </c>
      <c r="AV59" s="144" t="s">
        <v>1510</v>
      </c>
      <c r="AW59" s="62"/>
      <c r="AX59" s="61" t="s">
        <v>1359</v>
      </c>
      <c r="AY59" s="61" t="s">
        <v>776</v>
      </c>
      <c r="AZ59" s="63" t="s">
        <v>776</v>
      </c>
      <c r="BA59" s="63" t="s">
        <v>776</v>
      </c>
      <c r="BB59" s="64"/>
      <c r="BC59" s="61"/>
      <c r="BD59" s="61"/>
      <c r="BE59" s="149">
        <v>33121.591408133572</v>
      </c>
      <c r="BF59" s="61" t="s">
        <v>1426</v>
      </c>
      <c r="BG59" s="65" t="s">
        <v>342</v>
      </c>
      <c r="BH59" s="161"/>
      <c r="BI59" s="86"/>
      <c r="BJ59" s="65" t="s">
        <v>179</v>
      </c>
      <c r="BK59" s="65" t="s">
        <v>215</v>
      </c>
      <c r="BL59" s="65"/>
      <c r="BM59" s="66"/>
      <c r="BN59" s="66"/>
      <c r="BO59" s="66"/>
      <c r="BP59" s="66"/>
      <c r="BQ59" s="66"/>
    </row>
    <row r="60" spans="1:69" ht="15.6" customHeight="1">
      <c r="A60" s="66">
        <v>6405</v>
      </c>
      <c r="B60" s="80" t="s">
        <v>507</v>
      </c>
      <c r="C60" s="65" t="s">
        <v>223</v>
      </c>
      <c r="D60" s="53">
        <v>46112</v>
      </c>
      <c r="E60" s="63" t="s">
        <v>472</v>
      </c>
      <c r="F60" s="85" t="s">
        <v>866</v>
      </c>
      <c r="G60" s="95" t="s">
        <v>1485</v>
      </c>
      <c r="H60" s="83" t="s">
        <v>508</v>
      </c>
      <c r="I60" s="61" t="s">
        <v>681</v>
      </c>
      <c r="J60" s="61"/>
      <c r="K60" s="61"/>
      <c r="L60" s="61"/>
      <c r="M60" s="65" t="s">
        <v>1276</v>
      </c>
      <c r="N60" s="85" t="s">
        <v>1134</v>
      </c>
      <c r="O60" s="82">
        <v>46387</v>
      </c>
      <c r="P60" s="85">
        <v>1</v>
      </c>
      <c r="Q60" s="157" t="s">
        <v>1279</v>
      </c>
      <c r="R60" s="151" t="s">
        <v>1367</v>
      </c>
      <c r="S60" s="152">
        <v>36792</v>
      </c>
      <c r="T60" s="153"/>
      <c r="U60" s="158" t="s">
        <v>1279</v>
      </c>
      <c r="V60" s="158" t="s">
        <v>1288</v>
      </c>
      <c r="W60" s="155" t="s">
        <v>1279</v>
      </c>
      <c r="X60" s="155" t="s">
        <v>1288</v>
      </c>
      <c r="Y60" s="155" t="s">
        <v>1288</v>
      </c>
      <c r="Z60" s="156">
        <v>37921.59140813358</v>
      </c>
      <c r="AA60" s="147" t="s">
        <v>1404</v>
      </c>
      <c r="AB60" s="61" t="s">
        <v>1279</v>
      </c>
      <c r="AC60" s="61" t="s">
        <v>1288</v>
      </c>
      <c r="AD60" s="61" t="s">
        <v>1288</v>
      </c>
      <c r="AE60" s="61" t="s">
        <v>150</v>
      </c>
      <c r="AF60" s="62"/>
      <c r="AG60" s="61" t="s">
        <v>150</v>
      </c>
      <c r="AH60" s="61" t="s">
        <v>472</v>
      </c>
      <c r="AI60" s="63" t="s">
        <v>217</v>
      </c>
      <c r="AJ60" s="63" t="s">
        <v>216</v>
      </c>
      <c r="AK60" s="63" t="s">
        <v>1042</v>
      </c>
      <c r="AL60" s="61" t="s">
        <v>150</v>
      </c>
      <c r="AM60" s="61" t="s">
        <v>150</v>
      </c>
      <c r="AN60" s="61" t="s">
        <v>138</v>
      </c>
      <c r="AO60" s="61" t="s">
        <v>150</v>
      </c>
      <c r="AP60" s="63" t="s">
        <v>216</v>
      </c>
      <c r="AQ60" s="61" t="s">
        <v>1511</v>
      </c>
      <c r="AR60" s="61" t="s">
        <v>1136</v>
      </c>
      <c r="AS60" s="61" t="s">
        <v>933</v>
      </c>
      <c r="AT60" s="61" t="s">
        <v>1282</v>
      </c>
      <c r="AU60" s="61" t="s">
        <v>905</v>
      </c>
      <c r="AV60" s="144" t="s">
        <v>1512</v>
      </c>
      <c r="AW60" s="62"/>
      <c r="AX60" s="61" t="s">
        <v>1387</v>
      </c>
      <c r="AY60" s="61" t="s">
        <v>776</v>
      </c>
      <c r="AZ60" s="63" t="s">
        <v>776</v>
      </c>
      <c r="BA60" s="63" t="s">
        <v>776</v>
      </c>
      <c r="BB60" s="64"/>
      <c r="BC60" s="61">
        <v>1012689</v>
      </c>
      <c r="BD60" s="61"/>
      <c r="BE60" s="149">
        <v>37921.59140813358</v>
      </c>
      <c r="BF60" s="61" t="s">
        <v>1426</v>
      </c>
      <c r="BG60" s="61" t="s">
        <v>421</v>
      </c>
      <c r="BH60" s="160"/>
      <c r="BI60" s="90"/>
      <c r="BJ60" s="65" t="s">
        <v>179</v>
      </c>
      <c r="BK60" s="65" t="s">
        <v>215</v>
      </c>
      <c r="BL60" s="65"/>
      <c r="BM60" s="66"/>
      <c r="BN60" s="66"/>
      <c r="BO60" s="66"/>
      <c r="BP60" s="66"/>
      <c r="BQ60" s="66"/>
    </row>
    <row r="61" spans="1:69" ht="15.6" customHeight="1">
      <c r="A61" s="66">
        <v>6408</v>
      </c>
      <c r="B61" s="80" t="s">
        <v>510</v>
      </c>
      <c r="C61" s="65" t="s">
        <v>223</v>
      </c>
      <c r="D61" s="81">
        <v>46478</v>
      </c>
      <c r="E61" s="64" t="s">
        <v>839</v>
      </c>
      <c r="F61" s="82"/>
      <c r="G61" s="64" t="s">
        <v>697</v>
      </c>
      <c r="H61" s="83" t="s">
        <v>1513</v>
      </c>
      <c r="I61" s="61" t="s">
        <v>681</v>
      </c>
      <c r="J61" s="61"/>
      <c r="K61" s="61"/>
      <c r="L61" s="61"/>
      <c r="M61" s="65" t="s">
        <v>1276</v>
      </c>
      <c r="N61" s="85" t="s">
        <v>1134</v>
      </c>
      <c r="O61" s="82"/>
      <c r="P61" s="85">
        <v>1</v>
      </c>
      <c r="Q61" s="157" t="s">
        <v>1353</v>
      </c>
      <c r="R61" s="151" t="s">
        <v>1354</v>
      </c>
      <c r="S61" s="152">
        <v>13480</v>
      </c>
      <c r="T61" s="153"/>
      <c r="U61" s="158" t="s">
        <v>1363</v>
      </c>
      <c r="V61" s="158" t="s">
        <v>1363</v>
      </c>
      <c r="W61" s="155" t="s">
        <v>1363</v>
      </c>
      <c r="X61" s="155" t="s">
        <v>1363</v>
      </c>
      <c r="Y61" s="155" t="s">
        <v>1514</v>
      </c>
      <c r="Z61" s="156">
        <v>43600.581622092628</v>
      </c>
      <c r="AA61" s="147" t="s">
        <v>1355</v>
      </c>
      <c r="AB61" s="61" t="s">
        <v>1392</v>
      </c>
      <c r="AC61" s="61" t="s">
        <v>1392</v>
      </c>
      <c r="AD61" s="61" t="s">
        <v>1392</v>
      </c>
      <c r="AE61" s="61" t="s">
        <v>150</v>
      </c>
      <c r="AF61" s="62" t="s">
        <v>512</v>
      </c>
      <c r="AG61" s="61" t="s">
        <v>216</v>
      </c>
      <c r="AH61" s="61" t="s">
        <v>216</v>
      </c>
      <c r="AI61" s="63" t="s">
        <v>216</v>
      </c>
      <c r="AJ61" s="63" t="s">
        <v>216</v>
      </c>
      <c r="AK61" s="63" t="s">
        <v>1042</v>
      </c>
      <c r="AL61" s="61" t="s">
        <v>150</v>
      </c>
      <c r="AM61" s="61" t="s">
        <v>150</v>
      </c>
      <c r="AN61" s="61" t="s">
        <v>138</v>
      </c>
      <c r="AO61" s="61" t="s">
        <v>150</v>
      </c>
      <c r="AP61" s="63" t="s">
        <v>216</v>
      </c>
      <c r="AQ61" s="61" t="s">
        <v>863</v>
      </c>
      <c r="AR61" s="61" t="s">
        <v>1141</v>
      </c>
      <c r="AS61" s="61" t="s">
        <v>1375</v>
      </c>
      <c r="AT61" s="61" t="s">
        <v>1282</v>
      </c>
      <c r="AU61" s="61" t="s">
        <v>1139</v>
      </c>
      <c r="AV61" s="144" t="s">
        <v>1515</v>
      </c>
      <c r="AW61" s="62" t="s">
        <v>1516</v>
      </c>
      <c r="AX61" s="61" t="s">
        <v>1359</v>
      </c>
      <c r="AY61" s="61" t="s">
        <v>776</v>
      </c>
      <c r="AZ61" s="63" t="s">
        <v>216</v>
      </c>
      <c r="BA61" s="63" t="s">
        <v>216</v>
      </c>
      <c r="BB61" s="64"/>
      <c r="BC61" s="61">
        <v>1012015</v>
      </c>
      <c r="BD61" s="61"/>
      <c r="BE61" s="149">
        <v>43600</v>
      </c>
      <c r="BF61" s="61" t="s">
        <v>1426</v>
      </c>
      <c r="BG61" s="61" t="s">
        <v>427</v>
      </c>
      <c r="BH61" s="161" t="s">
        <v>1285</v>
      </c>
      <c r="BI61" s="86" t="s">
        <v>1517</v>
      </c>
      <c r="BJ61" s="65" t="s">
        <v>179</v>
      </c>
      <c r="BK61" s="65" t="s">
        <v>215</v>
      </c>
      <c r="BL61" s="65"/>
      <c r="BM61" s="66"/>
      <c r="BN61" s="66"/>
      <c r="BO61" s="66"/>
      <c r="BP61" s="66"/>
      <c r="BQ61" s="66"/>
    </row>
    <row r="62" spans="1:69" ht="15.6" customHeight="1">
      <c r="A62" s="66">
        <v>6422</v>
      </c>
      <c r="B62" s="96" t="s">
        <v>514</v>
      </c>
      <c r="C62" s="61" t="s">
        <v>212</v>
      </c>
      <c r="D62" s="53">
        <v>46387</v>
      </c>
      <c r="E62" s="64" t="s">
        <v>443</v>
      </c>
      <c r="F62" s="64" t="s">
        <v>928</v>
      </c>
      <c r="G62" s="64"/>
      <c r="H62" s="83" t="s">
        <v>1518</v>
      </c>
      <c r="I62" s="61" t="s">
        <v>681</v>
      </c>
      <c r="J62" s="61"/>
      <c r="K62" s="61"/>
      <c r="L62" s="61" t="s">
        <v>138</v>
      </c>
      <c r="M62" s="65" t="s">
        <v>1276</v>
      </c>
      <c r="N62" s="85" t="s">
        <v>814</v>
      </c>
      <c r="O62" s="64">
        <v>46326</v>
      </c>
      <c r="P62" s="85">
        <v>1</v>
      </c>
      <c r="Q62" s="157" t="s">
        <v>1279</v>
      </c>
      <c r="R62" s="151" t="s">
        <v>1367</v>
      </c>
      <c r="S62" s="152">
        <v>0</v>
      </c>
      <c r="T62" s="153"/>
      <c r="U62" s="158" t="s">
        <v>1363</v>
      </c>
      <c r="V62" s="158" t="s">
        <v>1363</v>
      </c>
      <c r="W62" s="155" t="s">
        <v>1279</v>
      </c>
      <c r="X62" s="155" t="s">
        <v>1280</v>
      </c>
      <c r="Y62" s="155" t="s">
        <v>1280</v>
      </c>
      <c r="Z62" s="156">
        <v>57843.182816267152</v>
      </c>
      <c r="AA62" s="147" t="s">
        <v>1404</v>
      </c>
      <c r="AB62" s="61" t="s">
        <v>1279</v>
      </c>
      <c r="AC62" s="61" t="s">
        <v>1280</v>
      </c>
      <c r="AD62" s="61" t="s">
        <v>1280</v>
      </c>
      <c r="AE62" s="61" t="s">
        <v>138</v>
      </c>
      <c r="AF62" s="62" t="s">
        <v>516</v>
      </c>
      <c r="AG62" s="61" t="s">
        <v>150</v>
      </c>
      <c r="AH62" s="65" t="s">
        <v>443</v>
      </c>
      <c r="AI62" s="91" t="s">
        <v>217</v>
      </c>
      <c r="AJ62" s="63" t="s">
        <v>216</v>
      </c>
      <c r="AK62" s="63" t="s">
        <v>1144</v>
      </c>
      <c r="AL62" s="61" t="s">
        <v>138</v>
      </c>
      <c r="AM62" s="61" t="s">
        <v>150</v>
      </c>
      <c r="AN62" s="61" t="s">
        <v>150</v>
      </c>
      <c r="AO62" s="61" t="s">
        <v>150</v>
      </c>
      <c r="AP62" s="63" t="s">
        <v>216</v>
      </c>
      <c r="AQ62" s="61" t="s">
        <v>863</v>
      </c>
      <c r="AR62" s="61" t="s">
        <v>1145</v>
      </c>
      <c r="AS62" s="61" t="s">
        <v>1492</v>
      </c>
      <c r="AT62" s="61" t="s">
        <v>1282</v>
      </c>
      <c r="AU62" s="61" t="s">
        <v>905</v>
      </c>
      <c r="AV62" s="141" t="s">
        <v>1519</v>
      </c>
      <c r="AW62" s="62"/>
      <c r="AX62" s="61" t="s">
        <v>1359</v>
      </c>
      <c r="AY62" s="61" t="s">
        <v>776</v>
      </c>
      <c r="AZ62" s="63" t="s">
        <v>776</v>
      </c>
      <c r="BA62" s="63" t="s">
        <v>776</v>
      </c>
      <c r="BB62" s="64" t="s">
        <v>216</v>
      </c>
      <c r="BC62" s="61"/>
      <c r="BD62" s="61"/>
      <c r="BE62" s="142">
        <v>57843</v>
      </c>
      <c r="BF62" s="61"/>
      <c r="BG62" s="61"/>
      <c r="BH62" s="163" t="s">
        <v>1398</v>
      </c>
      <c r="BI62" s="60"/>
      <c r="BJ62" s="65" t="s">
        <v>179</v>
      </c>
      <c r="BK62" s="65"/>
      <c r="BL62" s="65"/>
      <c r="BM62" s="66"/>
      <c r="BN62" s="66"/>
      <c r="BO62" s="66"/>
      <c r="BP62" s="66"/>
      <c r="BQ62" s="66"/>
    </row>
    <row r="63" spans="1:69" ht="15.6" customHeight="1">
      <c r="A63" s="66">
        <v>6424</v>
      </c>
      <c r="B63" s="105" t="s">
        <v>1520</v>
      </c>
      <c r="C63" s="65" t="s">
        <v>212</v>
      </c>
      <c r="D63" s="106">
        <v>46387</v>
      </c>
      <c r="E63" s="90" t="s">
        <v>382</v>
      </c>
      <c r="F63" s="85" t="s">
        <v>1152</v>
      </c>
      <c r="G63" s="104" t="s">
        <v>1153</v>
      </c>
      <c r="H63" s="83" t="s">
        <v>519</v>
      </c>
      <c r="I63" s="61" t="s">
        <v>681</v>
      </c>
      <c r="J63" s="61"/>
      <c r="K63" s="61"/>
      <c r="L63" s="61"/>
      <c r="M63" s="65" t="s">
        <v>1276</v>
      </c>
      <c r="N63" s="146" t="s">
        <v>814</v>
      </c>
      <c r="O63" s="64">
        <v>46387</v>
      </c>
      <c r="P63" s="85">
        <v>1</v>
      </c>
      <c r="Q63" s="157" t="s">
        <v>1353</v>
      </c>
      <c r="R63" s="151" t="s">
        <v>1422</v>
      </c>
      <c r="S63" s="152">
        <v>14574</v>
      </c>
      <c r="T63" s="153"/>
      <c r="U63" s="158" t="s">
        <v>1363</v>
      </c>
      <c r="V63" s="158" t="s">
        <v>1363</v>
      </c>
      <c r="W63" s="155" t="s">
        <v>1279</v>
      </c>
      <c r="X63" s="155" t="s">
        <v>1280</v>
      </c>
      <c r="Y63" s="155" t="s">
        <v>1280</v>
      </c>
      <c r="Z63" s="156">
        <v>16564.334889650119</v>
      </c>
      <c r="AA63" s="147" t="s">
        <v>1423</v>
      </c>
      <c r="AB63" s="61" t="s">
        <v>1279</v>
      </c>
      <c r="AC63" s="61" t="s">
        <v>1280</v>
      </c>
      <c r="AD63" s="61" t="s">
        <v>1280</v>
      </c>
      <c r="AE63" s="61" t="s">
        <v>150</v>
      </c>
      <c r="AF63" s="62" t="s">
        <v>520</v>
      </c>
      <c r="AG63" s="61" t="s">
        <v>150</v>
      </c>
      <c r="AH63" s="65" t="s">
        <v>521</v>
      </c>
      <c r="AI63" s="91" t="s">
        <v>217</v>
      </c>
      <c r="AJ63" s="63" t="s">
        <v>216</v>
      </c>
      <c r="AK63" s="63" t="s">
        <v>217</v>
      </c>
      <c r="AL63" s="61" t="s">
        <v>150</v>
      </c>
      <c r="AM63" s="61" t="s">
        <v>150</v>
      </c>
      <c r="AN63" s="61" t="s">
        <v>138</v>
      </c>
      <c r="AO63" s="61" t="s">
        <v>216</v>
      </c>
      <c r="AP63" s="63" t="s">
        <v>216</v>
      </c>
      <c r="AQ63" s="61" t="s">
        <v>863</v>
      </c>
      <c r="AR63" s="61" t="s">
        <v>1150</v>
      </c>
      <c r="AS63" s="65" t="s">
        <v>933</v>
      </c>
      <c r="AT63" s="65"/>
      <c r="AU63" s="61" t="s">
        <v>1146</v>
      </c>
      <c r="AV63" s="144" t="s">
        <v>1521</v>
      </c>
      <c r="AW63" s="62"/>
      <c r="AX63" s="61" t="s">
        <v>1359</v>
      </c>
      <c r="AY63" s="61" t="s">
        <v>776</v>
      </c>
      <c r="AZ63" s="63" t="s">
        <v>776</v>
      </c>
      <c r="BA63" s="63" t="s">
        <v>776</v>
      </c>
      <c r="BB63" s="64"/>
      <c r="BC63" s="61"/>
      <c r="BD63" s="61"/>
      <c r="BE63" s="142">
        <v>16564</v>
      </c>
      <c r="BF63" s="65" t="s">
        <v>1426</v>
      </c>
      <c r="BG63" s="65" t="s">
        <v>440</v>
      </c>
      <c r="BH63" s="165" t="s">
        <v>1427</v>
      </c>
      <c r="BI63" s="65"/>
      <c r="BJ63" s="65" t="s">
        <v>179</v>
      </c>
      <c r="BK63" s="65"/>
      <c r="BL63" s="65"/>
      <c r="BM63" s="66"/>
      <c r="BN63" s="66"/>
      <c r="BO63" s="66"/>
      <c r="BP63" s="66"/>
      <c r="BQ63" s="66"/>
    </row>
    <row r="64" spans="1:69" ht="15.6" customHeight="1">
      <c r="A64" s="66">
        <v>6452</v>
      </c>
      <c r="B64" s="80" t="s">
        <v>523</v>
      </c>
      <c r="C64" s="65" t="s">
        <v>223</v>
      </c>
      <c r="D64" s="81">
        <v>46478</v>
      </c>
      <c r="E64" s="64" t="s">
        <v>839</v>
      </c>
      <c r="F64" s="82"/>
      <c r="G64" s="64" t="s">
        <v>697</v>
      </c>
      <c r="H64" s="83" t="s">
        <v>1522</v>
      </c>
      <c r="I64" s="61" t="s">
        <v>681</v>
      </c>
      <c r="J64" s="61"/>
      <c r="K64" s="61"/>
      <c r="L64" s="61"/>
      <c r="M64" s="65" t="s">
        <v>1276</v>
      </c>
      <c r="N64" s="85" t="s">
        <v>1134</v>
      </c>
      <c r="O64" s="82"/>
      <c r="P64" s="85">
        <v>1</v>
      </c>
      <c r="Q64" s="157" t="s">
        <v>1353</v>
      </c>
      <c r="R64" s="151" t="s">
        <v>1354</v>
      </c>
      <c r="S64" s="152">
        <v>0</v>
      </c>
      <c r="T64" s="153"/>
      <c r="U64" s="158" t="s">
        <v>1363</v>
      </c>
      <c r="V64" s="158" t="s">
        <v>1363</v>
      </c>
      <c r="W64" s="155" t="s">
        <v>1363</v>
      </c>
      <c r="X64" s="155" t="s">
        <v>1363</v>
      </c>
      <c r="Y64" s="155" t="s">
        <v>1363</v>
      </c>
      <c r="Z64" s="156">
        <v>43600.581622092628</v>
      </c>
      <c r="AA64" s="147" t="s">
        <v>1355</v>
      </c>
      <c r="AB64" s="61" t="s">
        <v>1363</v>
      </c>
      <c r="AC64" s="61" t="s">
        <v>1363</v>
      </c>
      <c r="AD64" s="61" t="s">
        <v>1363</v>
      </c>
      <c r="AE64" s="61" t="s">
        <v>150</v>
      </c>
      <c r="AF64" s="62" t="s">
        <v>525</v>
      </c>
      <c r="AG64" s="61" t="s">
        <v>216</v>
      </c>
      <c r="AH64" s="61" t="s">
        <v>216</v>
      </c>
      <c r="AI64" s="63" t="s">
        <v>216</v>
      </c>
      <c r="AJ64" s="63" t="s">
        <v>216</v>
      </c>
      <c r="AK64" s="63" t="s">
        <v>1042</v>
      </c>
      <c r="AL64" s="61" t="s">
        <v>150</v>
      </c>
      <c r="AM64" s="61" t="s">
        <v>150</v>
      </c>
      <c r="AN64" s="61" t="s">
        <v>138</v>
      </c>
      <c r="AO64" s="61" t="s">
        <v>216</v>
      </c>
      <c r="AP64" s="63" t="s">
        <v>216</v>
      </c>
      <c r="AQ64" s="61" t="s">
        <v>830</v>
      </c>
      <c r="AR64" s="61" t="s">
        <v>1155</v>
      </c>
      <c r="AS64" s="61" t="s">
        <v>1375</v>
      </c>
      <c r="AT64" s="61"/>
      <c r="AU64" s="61" t="s">
        <v>1154</v>
      </c>
      <c r="AV64" s="144"/>
      <c r="AW64" s="62"/>
      <c r="AX64" s="61" t="s">
        <v>1359</v>
      </c>
      <c r="AY64" s="61"/>
      <c r="AZ64" s="63" t="s">
        <v>216</v>
      </c>
      <c r="BA64" s="63" t="s">
        <v>216</v>
      </c>
      <c r="BB64" s="64"/>
      <c r="BC64" s="61"/>
      <c r="BD64" s="61"/>
      <c r="BE64" s="149">
        <v>43600.581622092628</v>
      </c>
      <c r="BF64" s="61" t="s">
        <v>1426</v>
      </c>
      <c r="BG64" s="61" t="s">
        <v>445</v>
      </c>
      <c r="BH64" s="161" t="s">
        <v>1285</v>
      </c>
      <c r="BI64" s="86"/>
      <c r="BJ64" s="65" t="s">
        <v>179</v>
      </c>
      <c r="BK64" s="65" t="s">
        <v>215</v>
      </c>
      <c r="BL64" s="65"/>
      <c r="BM64" s="66"/>
      <c r="BN64" s="66"/>
      <c r="BO64" s="66"/>
      <c r="BP64" s="66"/>
      <c r="BQ64" s="66"/>
    </row>
    <row r="65" spans="1:69" ht="15.6" customHeight="1">
      <c r="A65" s="66">
        <v>6453</v>
      </c>
      <c r="B65" s="80" t="s">
        <v>527</v>
      </c>
      <c r="C65" s="65" t="s">
        <v>223</v>
      </c>
      <c r="D65" s="81">
        <v>46478</v>
      </c>
      <c r="E65" s="64" t="s">
        <v>839</v>
      </c>
      <c r="F65" s="82"/>
      <c r="G65" s="64" t="s">
        <v>697</v>
      </c>
      <c r="H65" s="83" t="s">
        <v>1523</v>
      </c>
      <c r="I65" s="61" t="s">
        <v>681</v>
      </c>
      <c r="J65" s="61"/>
      <c r="K65" s="61"/>
      <c r="L65" s="61"/>
      <c r="M65" s="65" t="s">
        <v>1276</v>
      </c>
      <c r="N65" s="85" t="s">
        <v>1134</v>
      </c>
      <c r="O65" s="82"/>
      <c r="P65" s="85">
        <v>1</v>
      </c>
      <c r="Q65" s="157" t="s">
        <v>1353</v>
      </c>
      <c r="R65" s="151" t="s">
        <v>1422</v>
      </c>
      <c r="S65" s="152">
        <v>0</v>
      </c>
      <c r="T65" s="153"/>
      <c r="U65" s="158" t="s">
        <v>1363</v>
      </c>
      <c r="V65" s="158" t="s">
        <v>1363</v>
      </c>
      <c r="W65" s="155" t="s">
        <v>1363</v>
      </c>
      <c r="X65" s="155" t="s">
        <v>1363</v>
      </c>
      <c r="Y65" s="155" t="s">
        <v>1363</v>
      </c>
      <c r="Z65" s="156">
        <v>43600.581622092628</v>
      </c>
      <c r="AA65" s="147" t="s">
        <v>1355</v>
      </c>
      <c r="AB65" s="61" t="s">
        <v>1363</v>
      </c>
      <c r="AC65" s="61" t="s">
        <v>1363</v>
      </c>
      <c r="AD65" s="61" t="s">
        <v>1363</v>
      </c>
      <c r="AE65" s="61" t="s">
        <v>150</v>
      </c>
      <c r="AF65" s="62" t="s">
        <v>529</v>
      </c>
      <c r="AG65" s="61" t="s">
        <v>216</v>
      </c>
      <c r="AH65" s="61" t="s">
        <v>216</v>
      </c>
      <c r="AI65" s="63" t="s">
        <v>216</v>
      </c>
      <c r="AJ65" s="63" t="s">
        <v>216</v>
      </c>
      <c r="AK65" s="63" t="s">
        <v>1042</v>
      </c>
      <c r="AL65" s="61" t="s">
        <v>216</v>
      </c>
      <c r="AM65" s="61" t="s">
        <v>216</v>
      </c>
      <c r="AN65" s="61" t="s">
        <v>216</v>
      </c>
      <c r="AO65" s="61" t="s">
        <v>216</v>
      </c>
      <c r="AP65" s="63" t="s">
        <v>216</v>
      </c>
      <c r="AQ65" s="61" t="s">
        <v>830</v>
      </c>
      <c r="AR65" s="61" t="s">
        <v>1159</v>
      </c>
      <c r="AS65" s="61" t="s">
        <v>1375</v>
      </c>
      <c r="AT65" s="61"/>
      <c r="AU65" s="61" t="s">
        <v>1139</v>
      </c>
      <c r="AV65" s="144"/>
      <c r="AW65" s="62"/>
      <c r="AX65" s="61" t="s">
        <v>1359</v>
      </c>
      <c r="AY65" s="61"/>
      <c r="AZ65" s="63" t="s">
        <v>216</v>
      </c>
      <c r="BA65" s="63" t="s">
        <v>216</v>
      </c>
      <c r="BB65" s="64" t="s">
        <v>216</v>
      </c>
      <c r="BC65" s="61"/>
      <c r="BD65" s="61"/>
      <c r="BE65" s="149">
        <v>43600.581622092628</v>
      </c>
      <c r="BF65" s="61" t="s">
        <v>1426</v>
      </c>
      <c r="BG65" s="61" t="s">
        <v>445</v>
      </c>
      <c r="BH65" s="161" t="s">
        <v>1285</v>
      </c>
      <c r="BI65" s="86"/>
      <c r="BJ65" s="65" t="s">
        <v>179</v>
      </c>
      <c r="BK65" s="65" t="s">
        <v>215</v>
      </c>
      <c r="BL65" s="65"/>
      <c r="BM65" s="66"/>
      <c r="BN65" s="66"/>
      <c r="BO65" s="66"/>
      <c r="BP65" s="66"/>
      <c r="BQ65" s="66"/>
    </row>
    <row r="66" spans="1:69" ht="15.6" customHeight="1">
      <c r="A66" s="66">
        <v>6500</v>
      </c>
      <c r="B66" s="80" t="s">
        <v>1524</v>
      </c>
      <c r="C66" s="65" t="s">
        <v>223</v>
      </c>
      <c r="D66" s="53">
        <v>46387</v>
      </c>
      <c r="E66" s="90" t="s">
        <v>443</v>
      </c>
      <c r="F66" s="85" t="s">
        <v>928</v>
      </c>
      <c r="G66" s="61"/>
      <c r="H66" s="83" t="s">
        <v>532</v>
      </c>
      <c r="I66" s="61" t="s">
        <v>681</v>
      </c>
      <c r="J66" s="61"/>
      <c r="K66" s="61" t="s">
        <v>1525</v>
      </c>
      <c r="L66" s="61" t="s">
        <v>150</v>
      </c>
      <c r="M66" s="65" t="s">
        <v>1276</v>
      </c>
      <c r="N66" s="85" t="s">
        <v>814</v>
      </c>
      <c r="O66" s="82">
        <v>46387</v>
      </c>
      <c r="P66" s="85">
        <v>1</v>
      </c>
      <c r="Q66" s="157" t="s">
        <v>1279</v>
      </c>
      <c r="R66" s="151" t="s">
        <v>1367</v>
      </c>
      <c r="S66" s="152">
        <v>36792</v>
      </c>
      <c r="T66" s="153"/>
      <c r="U66" s="158" t="s">
        <v>1363</v>
      </c>
      <c r="V66" s="158" t="s">
        <v>1363</v>
      </c>
      <c r="W66" s="155" t="s">
        <v>1279</v>
      </c>
      <c r="X66" s="155" t="s">
        <v>1280</v>
      </c>
      <c r="Y66" s="155" t="s">
        <v>1280</v>
      </c>
      <c r="Z66" s="156">
        <v>35401.591408133572</v>
      </c>
      <c r="AA66" s="147" t="s">
        <v>1404</v>
      </c>
      <c r="AB66" s="61" t="s">
        <v>1279</v>
      </c>
      <c r="AC66" s="61" t="s">
        <v>1280</v>
      </c>
      <c r="AD66" s="61" t="s">
        <v>1280</v>
      </c>
      <c r="AE66" s="61" t="s">
        <v>138</v>
      </c>
      <c r="AF66" s="62" t="s">
        <v>533</v>
      </c>
      <c r="AG66" s="61" t="s">
        <v>1525</v>
      </c>
      <c r="AH66" s="61" t="s">
        <v>372</v>
      </c>
      <c r="AI66" s="91" t="s">
        <v>217</v>
      </c>
      <c r="AJ66" s="63" t="s">
        <v>216</v>
      </c>
      <c r="AK66" s="63" t="s">
        <v>1160</v>
      </c>
      <c r="AL66" s="63" t="s">
        <v>138</v>
      </c>
      <c r="AM66" s="63" t="s">
        <v>138</v>
      </c>
      <c r="AN66" s="63" t="s">
        <v>138</v>
      </c>
      <c r="AO66" s="63" t="s">
        <v>216</v>
      </c>
      <c r="AP66" s="63" t="s">
        <v>216</v>
      </c>
      <c r="AQ66" s="61" t="s">
        <v>863</v>
      </c>
      <c r="AR66" s="61" t="s">
        <v>443</v>
      </c>
      <c r="AS66" s="61" t="s">
        <v>928</v>
      </c>
      <c r="AT66" s="61" t="s">
        <v>1407</v>
      </c>
      <c r="AU66" s="61" t="s">
        <v>905</v>
      </c>
      <c r="AV66" s="141" t="s">
        <v>1526</v>
      </c>
      <c r="AW66" s="164" t="s">
        <v>1527</v>
      </c>
      <c r="AX66" s="61" t="s">
        <v>1359</v>
      </c>
      <c r="AY66" s="61" t="s">
        <v>776</v>
      </c>
      <c r="AZ66" s="63" t="s">
        <v>776</v>
      </c>
      <c r="BA66" s="63" t="s">
        <v>776</v>
      </c>
      <c r="BB66" s="64"/>
      <c r="BC66" s="61"/>
      <c r="BD66" s="61"/>
      <c r="BE66" s="142">
        <v>35401</v>
      </c>
      <c r="BF66" s="61" t="s">
        <v>150</v>
      </c>
      <c r="BG66" s="61" t="s">
        <v>455</v>
      </c>
      <c r="BH66" s="163" t="s">
        <v>1398</v>
      </c>
      <c r="BI66" s="62"/>
      <c r="BJ66" s="65" t="s">
        <v>179</v>
      </c>
      <c r="BK66" s="65" t="s">
        <v>215</v>
      </c>
      <c r="BL66" s="65"/>
      <c r="BM66" s="66"/>
      <c r="BN66" s="66"/>
      <c r="BO66" s="66"/>
      <c r="BP66" s="66"/>
      <c r="BQ66" s="66"/>
    </row>
    <row r="67" spans="1:69" ht="15.6" customHeight="1">
      <c r="A67" s="66">
        <v>6512</v>
      </c>
      <c r="B67" s="80" t="s">
        <v>1528</v>
      </c>
      <c r="C67" s="61" t="s">
        <v>212</v>
      </c>
      <c r="D67" s="53">
        <v>46387</v>
      </c>
      <c r="E67" s="90" t="s">
        <v>443</v>
      </c>
      <c r="F67" s="85" t="s">
        <v>928</v>
      </c>
      <c r="G67" s="85"/>
      <c r="H67" s="83" t="s">
        <v>1529</v>
      </c>
      <c r="I67" s="61" t="s">
        <v>681</v>
      </c>
      <c r="J67" s="61"/>
      <c r="K67" s="61"/>
      <c r="L67" s="61" t="s">
        <v>150</v>
      </c>
      <c r="M67" s="65" t="s">
        <v>1276</v>
      </c>
      <c r="N67" s="85" t="s">
        <v>814</v>
      </c>
      <c r="O67" s="82">
        <v>46022</v>
      </c>
      <c r="P67" s="85">
        <v>1</v>
      </c>
      <c r="Q67" s="157" t="s">
        <v>1279</v>
      </c>
      <c r="R67" s="151" t="s">
        <v>1367</v>
      </c>
      <c r="S67" s="152">
        <v>0</v>
      </c>
      <c r="T67" s="153"/>
      <c r="U67" s="158" t="s">
        <v>1279</v>
      </c>
      <c r="V67" s="158" t="s">
        <v>1280</v>
      </c>
      <c r="W67" s="155" t="s">
        <v>1279</v>
      </c>
      <c r="X67" s="155" t="s">
        <v>1280</v>
      </c>
      <c r="Y67" s="155" t="s">
        <v>1280</v>
      </c>
      <c r="Z67" s="156">
        <v>1818.0277825816715</v>
      </c>
      <c r="AA67" s="147" t="s">
        <v>1393</v>
      </c>
      <c r="AB67" s="61" t="s">
        <v>1279</v>
      </c>
      <c r="AC67" s="61" t="s">
        <v>1280</v>
      </c>
      <c r="AD67" s="61" t="s">
        <v>1280</v>
      </c>
      <c r="AE67" s="61" t="s">
        <v>138</v>
      </c>
      <c r="AF67" s="62" t="s">
        <v>537</v>
      </c>
      <c r="AG67" s="61" t="s">
        <v>150</v>
      </c>
      <c r="AH67" s="61" t="s">
        <v>372</v>
      </c>
      <c r="AI67" s="91" t="s">
        <v>217</v>
      </c>
      <c r="AJ67" s="63" t="s">
        <v>216</v>
      </c>
      <c r="AK67" s="63" t="s">
        <v>438</v>
      </c>
      <c r="AL67" s="61" t="s">
        <v>138</v>
      </c>
      <c r="AM67" s="61" t="s">
        <v>138</v>
      </c>
      <c r="AN67" s="61" t="s">
        <v>150</v>
      </c>
      <c r="AO67" s="61" t="s">
        <v>216</v>
      </c>
      <c r="AP67" s="63" t="s">
        <v>216</v>
      </c>
      <c r="AQ67" s="61" t="s">
        <v>863</v>
      </c>
      <c r="AR67" s="61" t="s">
        <v>443</v>
      </c>
      <c r="AS67" s="61" t="s">
        <v>928</v>
      </c>
      <c r="AT67" s="61"/>
      <c r="AU67" s="61" t="s">
        <v>905</v>
      </c>
      <c r="AV67" s="141" t="s">
        <v>1530</v>
      </c>
      <c r="AW67" s="164" t="s">
        <v>1527</v>
      </c>
      <c r="AX67" s="61" t="s">
        <v>1359</v>
      </c>
      <c r="AY67" s="61" t="s">
        <v>776</v>
      </c>
      <c r="AZ67" s="63" t="s">
        <v>776</v>
      </c>
      <c r="BA67" s="63" t="s">
        <v>776</v>
      </c>
      <c r="BB67" s="64"/>
      <c r="BC67" s="61"/>
      <c r="BD67" s="61"/>
      <c r="BE67" s="142">
        <v>1818</v>
      </c>
      <c r="BF67" s="61" t="s">
        <v>150</v>
      </c>
      <c r="BG67" s="61" t="s">
        <v>460</v>
      </c>
      <c r="BH67" s="163" t="s">
        <v>1398</v>
      </c>
      <c r="BI67" s="62"/>
      <c r="BJ67" s="65" t="s">
        <v>179</v>
      </c>
      <c r="BK67" s="65" t="s">
        <v>215</v>
      </c>
      <c r="BL67" s="65"/>
      <c r="BM67" s="66"/>
      <c r="BN67" s="66"/>
      <c r="BO67" s="66"/>
      <c r="BP67" s="66"/>
      <c r="BQ67" s="66"/>
    </row>
    <row r="68" spans="1:69" ht="15.6" customHeight="1">
      <c r="A68" s="66">
        <v>6859</v>
      </c>
      <c r="B68" s="80" t="s">
        <v>539</v>
      </c>
      <c r="C68" s="65" t="s">
        <v>223</v>
      </c>
      <c r="D68" s="53">
        <v>46203</v>
      </c>
      <c r="E68" s="90" t="s">
        <v>1081</v>
      </c>
      <c r="F68" s="85" t="s">
        <v>546</v>
      </c>
      <c r="G68" s="95" t="s">
        <v>1166</v>
      </c>
      <c r="H68" s="83" t="s">
        <v>540</v>
      </c>
      <c r="I68" s="61" t="s">
        <v>681</v>
      </c>
      <c r="J68" s="61"/>
      <c r="K68" s="61"/>
      <c r="L68" s="61"/>
      <c r="M68" s="65" t="s">
        <v>1276</v>
      </c>
      <c r="N68" s="85" t="s">
        <v>655</v>
      </c>
      <c r="O68" s="82"/>
      <c r="P68" s="85">
        <v>1</v>
      </c>
      <c r="Q68" s="157" t="s">
        <v>1353</v>
      </c>
      <c r="R68" s="151" t="s">
        <v>1422</v>
      </c>
      <c r="S68" s="152">
        <v>27925</v>
      </c>
      <c r="T68" s="153"/>
      <c r="U68" s="158" t="s">
        <v>1363</v>
      </c>
      <c r="V68" s="158" t="s">
        <v>1363</v>
      </c>
      <c r="W68" s="155" t="s">
        <v>1279</v>
      </c>
      <c r="X68" s="155" t="s">
        <v>1280</v>
      </c>
      <c r="Y68" s="155" t="s">
        <v>1280</v>
      </c>
      <c r="Z68" s="156">
        <v>33128.669779300239</v>
      </c>
      <c r="AA68" s="147" t="s">
        <v>1423</v>
      </c>
      <c r="AB68" s="61" t="s">
        <v>1279</v>
      </c>
      <c r="AC68" s="61" t="s">
        <v>1280</v>
      </c>
      <c r="AD68" s="61" t="s">
        <v>1280</v>
      </c>
      <c r="AE68" s="90" t="s">
        <v>138</v>
      </c>
      <c r="AF68" s="62" t="s">
        <v>541</v>
      </c>
      <c r="AG68" s="61" t="s">
        <v>150</v>
      </c>
      <c r="AH68" s="61" t="s">
        <v>542</v>
      </c>
      <c r="AI68" s="63" t="s">
        <v>217</v>
      </c>
      <c r="AJ68" s="63" t="s">
        <v>216</v>
      </c>
      <c r="AK68" s="63" t="s">
        <v>1144</v>
      </c>
      <c r="AL68" s="61" t="s">
        <v>138</v>
      </c>
      <c r="AM68" s="61" t="s">
        <v>138</v>
      </c>
      <c r="AN68" s="61" t="s">
        <v>150</v>
      </c>
      <c r="AO68" s="61" t="s">
        <v>216</v>
      </c>
      <c r="AP68" s="63" t="s">
        <v>216</v>
      </c>
      <c r="AQ68" s="61" t="s">
        <v>863</v>
      </c>
      <c r="AR68" s="61" t="s">
        <v>216</v>
      </c>
      <c r="AS68" s="61" t="s">
        <v>546</v>
      </c>
      <c r="AT68" s="61" t="s">
        <v>1282</v>
      </c>
      <c r="AU68" s="61" t="s">
        <v>905</v>
      </c>
      <c r="AV68" s="144" t="s">
        <v>1531</v>
      </c>
      <c r="AW68" s="164" t="s">
        <v>1532</v>
      </c>
      <c r="AX68" s="61" t="s">
        <v>1359</v>
      </c>
      <c r="AY68" s="61" t="s">
        <v>776</v>
      </c>
      <c r="AZ68" s="61" t="s">
        <v>776</v>
      </c>
      <c r="BA68" s="61" t="s">
        <v>776</v>
      </c>
      <c r="BB68" s="64"/>
      <c r="BC68" s="61"/>
      <c r="BD68" s="61"/>
      <c r="BE68" s="149">
        <v>33128.669779300239</v>
      </c>
      <c r="BF68" s="61" t="s">
        <v>150</v>
      </c>
      <c r="BG68" s="61" t="s">
        <v>460</v>
      </c>
      <c r="BH68" s="161"/>
      <c r="BI68" s="86"/>
      <c r="BJ68" s="65" t="s">
        <v>179</v>
      </c>
      <c r="BK68" s="65" t="s">
        <v>215</v>
      </c>
      <c r="BL68" s="65"/>
      <c r="BM68" s="66"/>
      <c r="BN68" s="60" t="s">
        <v>1533</v>
      </c>
      <c r="BO68" s="66"/>
      <c r="BP68" s="66" t="s">
        <v>1534</v>
      </c>
      <c r="BQ68" s="66"/>
    </row>
    <row r="69" spans="1:69" ht="15.6" customHeight="1">
      <c r="A69" s="60">
        <v>7558</v>
      </c>
      <c r="B69" s="60" t="s">
        <v>544</v>
      </c>
      <c r="C69" s="65" t="s">
        <v>223</v>
      </c>
      <c r="D69" s="53">
        <v>46203</v>
      </c>
      <c r="E69" s="90" t="s">
        <v>544</v>
      </c>
      <c r="F69" s="85" t="s">
        <v>546</v>
      </c>
      <c r="G69" s="95" t="s">
        <v>1166</v>
      </c>
      <c r="H69" s="60" t="s">
        <v>1535</v>
      </c>
      <c r="I69" s="61" t="s">
        <v>681</v>
      </c>
      <c r="J69" s="61"/>
      <c r="K69" s="61" t="s">
        <v>138</v>
      </c>
      <c r="L69" s="61"/>
      <c r="M69" s="85" t="s">
        <v>1276</v>
      </c>
      <c r="N69" s="85" t="s">
        <v>814</v>
      </c>
      <c r="O69" s="82"/>
      <c r="P69" s="85">
        <v>1</v>
      </c>
      <c r="Q69" s="157" t="s">
        <v>216</v>
      </c>
      <c r="R69" s="151" t="s">
        <v>216</v>
      </c>
      <c r="S69" s="152">
        <v>0</v>
      </c>
      <c r="T69" s="153"/>
      <c r="U69" s="158" t="s">
        <v>1279</v>
      </c>
      <c r="V69" s="158" t="s">
        <v>1280</v>
      </c>
      <c r="W69" s="155" t="s">
        <v>1279</v>
      </c>
      <c r="X69" s="155" t="s">
        <v>1280</v>
      </c>
      <c r="Y69" s="155" t="s">
        <v>1280</v>
      </c>
      <c r="Z69" s="156">
        <v>78197.339558600477</v>
      </c>
      <c r="AA69" s="147" t="s">
        <v>1423</v>
      </c>
      <c r="AB69" s="61" t="s">
        <v>1279</v>
      </c>
      <c r="AC69" s="61" t="s">
        <v>1280</v>
      </c>
      <c r="AD69" s="61" t="s">
        <v>1280</v>
      </c>
      <c r="AE69" s="90" t="s">
        <v>138</v>
      </c>
      <c r="AF69" s="62" t="s">
        <v>547</v>
      </c>
      <c r="AG69" s="61" t="s">
        <v>138</v>
      </c>
      <c r="AH69" s="61" t="s">
        <v>548</v>
      </c>
      <c r="AI69" s="63" t="s">
        <v>160</v>
      </c>
      <c r="AJ69" s="63" t="s">
        <v>225</v>
      </c>
      <c r="AK69" s="63" t="s">
        <v>816</v>
      </c>
      <c r="AL69" s="61" t="s">
        <v>138</v>
      </c>
      <c r="AM69" s="61" t="s">
        <v>138</v>
      </c>
      <c r="AN69" s="61" t="s">
        <v>150</v>
      </c>
      <c r="AO69" s="61" t="s">
        <v>150</v>
      </c>
      <c r="AP69" s="77" t="s">
        <v>842</v>
      </c>
      <c r="AQ69" s="61" t="s">
        <v>863</v>
      </c>
      <c r="AR69" s="61" t="s">
        <v>216</v>
      </c>
      <c r="AS69" s="168" t="s">
        <v>546</v>
      </c>
      <c r="AT69" s="61" t="s">
        <v>1282</v>
      </c>
      <c r="AU69" s="61" t="s">
        <v>905</v>
      </c>
      <c r="AV69" s="144" t="s">
        <v>1536</v>
      </c>
      <c r="AW69" s="164" t="s">
        <v>1537</v>
      </c>
      <c r="AX69" s="61" t="s">
        <v>1359</v>
      </c>
      <c r="AY69" s="61" t="s">
        <v>1309</v>
      </c>
      <c r="AZ69" s="77" t="s">
        <v>843</v>
      </c>
      <c r="BA69" s="77" t="s">
        <v>844</v>
      </c>
      <c r="BB69" s="64"/>
      <c r="BC69" s="61"/>
      <c r="BD69" s="61"/>
      <c r="BE69" s="149">
        <v>78197.339558600477</v>
      </c>
      <c r="BF69" s="61" t="s">
        <v>150</v>
      </c>
      <c r="BG69" s="61" t="s">
        <v>460</v>
      </c>
      <c r="BH69" s="161"/>
      <c r="BI69" s="86"/>
      <c r="BJ69" s="65" t="s">
        <v>179</v>
      </c>
      <c r="BK69" s="65"/>
      <c r="BL69" s="65"/>
      <c r="BM69" s="66"/>
      <c r="BN69" s="66" t="s">
        <v>1538</v>
      </c>
      <c r="BO69" s="66"/>
      <c r="BP69" s="66"/>
      <c r="BQ69" s="66"/>
    </row>
    <row r="70" spans="1:69" ht="15.6" customHeight="1">
      <c r="A70" s="60">
        <v>7814</v>
      </c>
      <c r="B70" s="60" t="s">
        <v>550</v>
      </c>
      <c r="C70" s="65" t="s">
        <v>223</v>
      </c>
      <c r="D70" s="53">
        <v>46387</v>
      </c>
      <c r="E70" s="90" t="s">
        <v>436</v>
      </c>
      <c r="F70" s="85"/>
      <c r="G70" s="85"/>
      <c r="H70" s="60" t="s">
        <v>1539</v>
      </c>
      <c r="I70" s="61" t="s">
        <v>681</v>
      </c>
      <c r="J70" s="61"/>
      <c r="K70" s="61"/>
      <c r="L70" s="61"/>
      <c r="M70" s="65" t="s">
        <v>1276</v>
      </c>
      <c r="N70" s="65" t="s">
        <v>906</v>
      </c>
      <c r="O70" s="82"/>
      <c r="P70" s="85">
        <v>1</v>
      </c>
      <c r="Q70" s="157" t="s">
        <v>216</v>
      </c>
      <c r="R70" s="151" t="s">
        <v>216</v>
      </c>
      <c r="S70" s="152">
        <v>0</v>
      </c>
      <c r="T70" s="153"/>
      <c r="U70" s="158" t="s">
        <v>1279</v>
      </c>
      <c r="V70" s="158" t="s">
        <v>1280</v>
      </c>
      <c r="W70" s="155" t="s">
        <v>1279</v>
      </c>
      <c r="X70" s="155" t="s">
        <v>1280</v>
      </c>
      <c r="Y70" s="155" t="s">
        <v>1280</v>
      </c>
      <c r="Z70" s="156">
        <v>16564.334889650119</v>
      </c>
      <c r="AA70" s="147" t="s">
        <v>1423</v>
      </c>
      <c r="AB70" s="61" t="s">
        <v>1279</v>
      </c>
      <c r="AC70" s="61" t="s">
        <v>1280</v>
      </c>
      <c r="AD70" s="61" t="s">
        <v>1280</v>
      </c>
      <c r="AE70" s="61" t="s">
        <v>150</v>
      </c>
      <c r="AF70" s="62" t="s">
        <v>216</v>
      </c>
      <c r="AG70" s="61" t="s">
        <v>216</v>
      </c>
      <c r="AH70" s="61" t="s">
        <v>552</v>
      </c>
      <c r="AI70" s="63" t="s">
        <v>216</v>
      </c>
      <c r="AJ70" s="63" t="s">
        <v>216</v>
      </c>
      <c r="AK70" s="63" t="s">
        <v>438</v>
      </c>
      <c r="AL70" s="61" t="s">
        <v>138</v>
      </c>
      <c r="AM70" s="61" t="s">
        <v>138</v>
      </c>
      <c r="AN70" s="61" t="s">
        <v>150</v>
      </c>
      <c r="AO70" s="61" t="s">
        <v>150</v>
      </c>
      <c r="AP70" s="63" t="s">
        <v>216</v>
      </c>
      <c r="AQ70" s="61" t="s">
        <v>863</v>
      </c>
      <c r="AR70" s="61" t="s">
        <v>1177</v>
      </c>
      <c r="AS70" s="61" t="s">
        <v>439</v>
      </c>
      <c r="AT70" s="61" t="s">
        <v>1282</v>
      </c>
      <c r="AU70" s="61" t="s">
        <v>1174</v>
      </c>
      <c r="AV70" s="144"/>
      <c r="AW70" s="164" t="s">
        <v>1540</v>
      </c>
      <c r="AX70" s="61" t="s">
        <v>1359</v>
      </c>
      <c r="AY70" s="61"/>
      <c r="AZ70" s="63" t="s">
        <v>216</v>
      </c>
      <c r="BA70" s="63" t="s">
        <v>216</v>
      </c>
      <c r="BB70" s="64"/>
      <c r="BC70" s="61"/>
      <c r="BD70" s="61"/>
      <c r="BE70" s="149">
        <v>16564.334889650119</v>
      </c>
      <c r="BF70" s="61" t="s">
        <v>150</v>
      </c>
      <c r="BG70" s="61" t="s">
        <v>474</v>
      </c>
      <c r="BH70" s="161"/>
      <c r="BI70" s="86"/>
      <c r="BJ70" s="65" t="s">
        <v>179</v>
      </c>
      <c r="BK70" s="65"/>
      <c r="BL70" s="65"/>
      <c r="BM70" s="66"/>
      <c r="BN70" s="66"/>
      <c r="BO70" s="66"/>
      <c r="BP70" s="108" t="s">
        <v>1541</v>
      </c>
      <c r="BQ70" s="66"/>
    </row>
    <row r="71" spans="1:69" ht="15.6" customHeight="1">
      <c r="A71" s="60">
        <v>7866</v>
      </c>
      <c r="B71" s="60" t="s">
        <v>555</v>
      </c>
      <c r="C71" s="65" t="s">
        <v>223</v>
      </c>
      <c r="D71" s="53">
        <v>46203</v>
      </c>
      <c r="E71" s="90" t="s">
        <v>555</v>
      </c>
      <c r="F71" s="85" t="s">
        <v>546</v>
      </c>
      <c r="G71" s="95" t="s">
        <v>1183</v>
      </c>
      <c r="H71" s="60" t="s">
        <v>556</v>
      </c>
      <c r="I71" s="61" t="s">
        <v>681</v>
      </c>
      <c r="J71" s="107"/>
      <c r="K71" s="107"/>
      <c r="L71" s="107"/>
      <c r="M71" s="65" t="s">
        <v>1276</v>
      </c>
      <c r="N71" s="65" t="s">
        <v>906</v>
      </c>
      <c r="O71" s="82"/>
      <c r="P71" s="85">
        <v>1</v>
      </c>
      <c r="Q71" s="157"/>
      <c r="R71" s="151"/>
      <c r="S71" s="152"/>
      <c r="T71" s="153"/>
      <c r="U71" s="158"/>
      <c r="V71" s="158"/>
      <c r="W71" s="155" t="s">
        <v>1279</v>
      </c>
      <c r="X71" s="155" t="s">
        <v>1280</v>
      </c>
      <c r="Y71" s="155" t="s">
        <v>1280</v>
      </c>
      <c r="Z71" s="156"/>
      <c r="AA71" s="147" t="s">
        <v>1423</v>
      </c>
      <c r="AB71" s="61" t="s">
        <v>1279</v>
      </c>
      <c r="AC71" s="61" t="s">
        <v>1280</v>
      </c>
      <c r="AD71" s="61" t="s">
        <v>1280</v>
      </c>
      <c r="AE71" s="61" t="s">
        <v>150</v>
      </c>
      <c r="AF71" s="62" t="s">
        <v>216</v>
      </c>
      <c r="AG71" s="61" t="s">
        <v>138</v>
      </c>
      <c r="AH71" s="61" t="s">
        <v>216</v>
      </c>
      <c r="AI71" s="63" t="s">
        <v>160</v>
      </c>
      <c r="AJ71" s="63" t="s">
        <v>216</v>
      </c>
      <c r="AK71" s="63" t="s">
        <v>1179</v>
      </c>
      <c r="AL71" s="61" t="s">
        <v>138</v>
      </c>
      <c r="AM71" s="61" t="s">
        <v>138</v>
      </c>
      <c r="AN71" s="61" t="s">
        <v>150</v>
      </c>
      <c r="AO71" s="61" t="s">
        <v>216</v>
      </c>
      <c r="AP71" s="63" t="s">
        <v>844</v>
      </c>
      <c r="AQ71" s="61" t="s">
        <v>863</v>
      </c>
      <c r="AR71" s="61" t="s">
        <v>1182</v>
      </c>
      <c r="AS71" s="61" t="s">
        <v>546</v>
      </c>
      <c r="AT71" s="61" t="s">
        <v>1282</v>
      </c>
      <c r="AU71" s="61" t="s">
        <v>905</v>
      </c>
      <c r="AV71" s="144" t="s">
        <v>1542</v>
      </c>
      <c r="AW71" s="164" t="s">
        <v>1543</v>
      </c>
      <c r="AX71" s="61" t="s">
        <v>1359</v>
      </c>
      <c r="AY71" s="61" t="s">
        <v>776</v>
      </c>
      <c r="AZ71" s="63" t="s">
        <v>771</v>
      </c>
      <c r="BA71" s="63" t="s">
        <v>771</v>
      </c>
      <c r="BB71" s="64"/>
      <c r="BC71" s="61"/>
      <c r="BD71" s="61"/>
      <c r="BE71" s="149"/>
      <c r="BF71" s="61" t="s">
        <v>150</v>
      </c>
      <c r="BG71" s="61" t="s">
        <v>474</v>
      </c>
      <c r="BH71" s="161"/>
      <c r="BI71" s="86"/>
      <c r="BJ71" s="65" t="s">
        <v>179</v>
      </c>
      <c r="BK71" s="65"/>
      <c r="BL71" s="65"/>
      <c r="BM71" s="66"/>
      <c r="BN71" s="66"/>
      <c r="BO71" s="66"/>
      <c r="BP71" s="109" t="s">
        <v>1544</v>
      </c>
      <c r="BQ71" s="66"/>
    </row>
    <row r="72" spans="1:69" ht="15.6" customHeight="1">
      <c r="A72" s="60">
        <v>7944</v>
      </c>
      <c r="B72" s="60" t="s">
        <v>1545</v>
      </c>
      <c r="C72" s="65" t="s">
        <v>212</v>
      </c>
      <c r="D72" s="53">
        <v>46387</v>
      </c>
      <c r="E72" s="90" t="s">
        <v>448</v>
      </c>
      <c r="F72" s="85"/>
      <c r="G72" s="85"/>
      <c r="H72" s="60" t="s">
        <v>561</v>
      </c>
      <c r="I72" s="61" t="s">
        <v>681</v>
      </c>
      <c r="J72" s="61"/>
      <c r="K72" s="61"/>
      <c r="L72" s="61"/>
      <c r="M72" s="85" t="s">
        <v>1276</v>
      </c>
      <c r="N72" s="85" t="s">
        <v>814</v>
      </c>
      <c r="O72" s="82"/>
      <c r="P72" s="85">
        <v>1</v>
      </c>
      <c r="Q72" s="157"/>
      <c r="R72" s="151"/>
      <c r="S72" s="152"/>
      <c r="T72" s="153"/>
      <c r="U72" s="158"/>
      <c r="V72" s="158"/>
      <c r="W72" s="155" t="s">
        <v>1363</v>
      </c>
      <c r="X72" s="155" t="s">
        <v>1363</v>
      </c>
      <c r="Y72" s="155" t="s">
        <v>1363</v>
      </c>
      <c r="Z72" s="156"/>
      <c r="AA72" s="147">
        <v>300841001</v>
      </c>
      <c r="AB72" s="61" t="s">
        <v>1322</v>
      </c>
      <c r="AC72" s="61" t="s">
        <v>1363</v>
      </c>
      <c r="AD72" s="61" t="s">
        <v>1363</v>
      </c>
      <c r="AE72" s="61" t="s">
        <v>150</v>
      </c>
      <c r="AF72" s="62" t="s">
        <v>1190</v>
      </c>
      <c r="AG72" s="61" t="s">
        <v>150</v>
      </c>
      <c r="AH72" s="65" t="s">
        <v>216</v>
      </c>
      <c r="AI72" s="91" t="s">
        <v>217</v>
      </c>
      <c r="AJ72" s="63" t="s">
        <v>216</v>
      </c>
      <c r="AK72" s="63" t="s">
        <v>438</v>
      </c>
      <c r="AL72" s="61" t="s">
        <v>138</v>
      </c>
      <c r="AM72" s="61" t="s">
        <v>150</v>
      </c>
      <c r="AN72" s="61" t="s">
        <v>150</v>
      </c>
      <c r="AO72" s="61" t="s">
        <v>216</v>
      </c>
      <c r="AP72" s="63" t="s">
        <v>216</v>
      </c>
      <c r="AQ72" s="61" t="s">
        <v>863</v>
      </c>
      <c r="AR72" s="61" t="s">
        <v>1189</v>
      </c>
      <c r="AS72" s="65" t="s">
        <v>1546</v>
      </c>
      <c r="AT72" s="65"/>
      <c r="AU72" s="65" t="s">
        <v>1070</v>
      </c>
      <c r="AV72" s="144" t="s">
        <v>1547</v>
      </c>
      <c r="AW72" s="62"/>
      <c r="AX72" s="61" t="s">
        <v>1359</v>
      </c>
      <c r="AY72" s="61" t="s">
        <v>776</v>
      </c>
      <c r="AZ72" s="63" t="s">
        <v>776</v>
      </c>
      <c r="BA72" s="63" t="s">
        <v>776</v>
      </c>
      <c r="BB72" s="64"/>
      <c r="BC72" s="61"/>
      <c r="BD72" s="61"/>
      <c r="BE72" s="142">
        <v>0</v>
      </c>
      <c r="BF72" s="103" t="s">
        <v>150</v>
      </c>
      <c r="BG72" s="103" t="s">
        <v>1548</v>
      </c>
      <c r="BH72" s="167"/>
      <c r="BI72" s="103"/>
      <c r="BJ72" s="65" t="s">
        <v>179</v>
      </c>
      <c r="BK72" s="65"/>
      <c r="BL72" s="65"/>
      <c r="BM72" s="66"/>
      <c r="BN72" s="66"/>
      <c r="BO72" s="66"/>
      <c r="BP72" s="66"/>
      <c r="BQ72" s="66"/>
    </row>
    <row r="73" spans="1:69" ht="15.6" customHeight="1">
      <c r="A73" s="60">
        <v>7954</v>
      </c>
      <c r="B73" s="60" t="s">
        <v>564</v>
      </c>
      <c r="C73" s="65" t="s">
        <v>212</v>
      </c>
      <c r="D73" s="53">
        <v>46387</v>
      </c>
      <c r="E73" s="90" t="s">
        <v>1081</v>
      </c>
      <c r="F73" s="85" t="s">
        <v>546</v>
      </c>
      <c r="G73" s="85"/>
      <c r="H73" s="60" t="s">
        <v>565</v>
      </c>
      <c r="I73" s="61" t="s">
        <v>681</v>
      </c>
      <c r="J73" s="61"/>
      <c r="K73" s="61"/>
      <c r="L73" s="61"/>
      <c r="M73" s="65" t="s">
        <v>1276</v>
      </c>
      <c r="N73" s="65" t="s">
        <v>920</v>
      </c>
      <c r="O73" s="82"/>
      <c r="P73" s="85">
        <v>1</v>
      </c>
      <c r="Q73" s="157"/>
      <c r="R73" s="151"/>
      <c r="S73" s="152"/>
      <c r="T73" s="153"/>
      <c r="U73" s="158"/>
      <c r="V73" s="158"/>
      <c r="W73" s="155" t="s">
        <v>1279</v>
      </c>
      <c r="X73" s="155" t="s">
        <v>1280</v>
      </c>
      <c r="Y73" s="155" t="s">
        <v>1280</v>
      </c>
      <c r="Z73" s="156"/>
      <c r="AA73" s="147" t="s">
        <v>1423</v>
      </c>
      <c r="AB73" s="61" t="s">
        <v>1279</v>
      </c>
      <c r="AC73" s="61" t="s">
        <v>1280</v>
      </c>
      <c r="AD73" s="61" t="s">
        <v>1280</v>
      </c>
      <c r="AE73" s="61" t="s">
        <v>150</v>
      </c>
      <c r="AF73" s="86" t="s">
        <v>216</v>
      </c>
      <c r="AG73" s="61" t="s">
        <v>216</v>
      </c>
      <c r="AH73" s="90" t="s">
        <v>216</v>
      </c>
      <c r="AI73" s="63" t="s">
        <v>216</v>
      </c>
      <c r="AJ73" s="63" t="s">
        <v>216</v>
      </c>
      <c r="AK73" s="63" t="s">
        <v>438</v>
      </c>
      <c r="AL73" s="61" t="s">
        <v>138</v>
      </c>
      <c r="AM73" s="61" t="s">
        <v>150</v>
      </c>
      <c r="AN73" s="61" t="s">
        <v>150</v>
      </c>
      <c r="AO73" s="61" t="s">
        <v>216</v>
      </c>
      <c r="AP73" s="63" t="s">
        <v>216</v>
      </c>
      <c r="AQ73" s="61" t="s">
        <v>863</v>
      </c>
      <c r="AR73" s="90" t="s">
        <v>1193</v>
      </c>
      <c r="AS73" s="61" t="s">
        <v>933</v>
      </c>
      <c r="AT73" s="61" t="s">
        <v>1282</v>
      </c>
      <c r="AU73" s="61" t="s">
        <v>1070</v>
      </c>
      <c r="AV73" s="161" t="s">
        <v>1549</v>
      </c>
      <c r="AW73" s="164" t="s">
        <v>1550</v>
      </c>
      <c r="AX73" s="61" t="s">
        <v>1359</v>
      </c>
      <c r="AY73" s="61" t="s">
        <v>776</v>
      </c>
      <c r="AZ73" s="63" t="s">
        <v>216</v>
      </c>
      <c r="BA73" s="63" t="s">
        <v>216</v>
      </c>
      <c r="BB73" s="64"/>
      <c r="BC73" s="61"/>
      <c r="BD73" s="61"/>
      <c r="BE73" s="149"/>
      <c r="BF73" s="90" t="s">
        <v>150</v>
      </c>
      <c r="BG73" s="61" t="s">
        <v>474</v>
      </c>
      <c r="BH73" s="161"/>
      <c r="BI73" s="86"/>
      <c r="BJ73" s="65" t="s">
        <v>179</v>
      </c>
      <c r="BK73" s="65"/>
      <c r="BL73" s="65"/>
      <c r="BM73" s="66"/>
      <c r="BN73" s="66"/>
      <c r="BO73" s="66"/>
      <c r="BP73" s="66"/>
      <c r="BQ73" s="66"/>
    </row>
    <row r="74" spans="1:69" ht="15.6" customHeight="1">
      <c r="A74" s="60">
        <v>7955</v>
      </c>
      <c r="B74" s="60" t="s">
        <v>568</v>
      </c>
      <c r="C74" s="65" t="s">
        <v>223</v>
      </c>
      <c r="D74" s="81">
        <v>46203</v>
      </c>
      <c r="E74" s="64" t="s">
        <v>1551</v>
      </c>
      <c r="F74" s="64" t="s">
        <v>866</v>
      </c>
      <c r="G74" s="64"/>
      <c r="H74" s="60" t="s">
        <v>569</v>
      </c>
      <c r="I74" s="61" t="s">
        <v>681</v>
      </c>
      <c r="J74" s="61"/>
      <c r="K74" s="61"/>
      <c r="L74" s="61"/>
      <c r="M74" s="65" t="s">
        <v>1276</v>
      </c>
      <c r="N74" s="65" t="s">
        <v>920</v>
      </c>
      <c r="O74" s="82"/>
      <c r="P74" s="85">
        <v>1</v>
      </c>
      <c r="Q74" s="157"/>
      <c r="R74" s="151"/>
      <c r="S74" s="152"/>
      <c r="T74" s="153"/>
      <c r="U74" s="158"/>
      <c r="V74" s="158"/>
      <c r="W74" s="155" t="s">
        <v>1279</v>
      </c>
      <c r="X74" s="155" t="s">
        <v>1288</v>
      </c>
      <c r="Y74" s="155" t="s">
        <v>1288</v>
      </c>
      <c r="Z74" s="156"/>
      <c r="AA74" s="147" t="s">
        <v>1423</v>
      </c>
      <c r="AB74" s="61" t="s">
        <v>1279</v>
      </c>
      <c r="AC74" s="61" t="s">
        <v>1288</v>
      </c>
      <c r="AD74" s="61" t="s">
        <v>1288</v>
      </c>
      <c r="AE74" s="61" t="s">
        <v>138</v>
      </c>
      <c r="AF74" s="62" t="s">
        <v>1197</v>
      </c>
      <c r="AG74" s="61" t="s">
        <v>150</v>
      </c>
      <c r="AH74" s="61" t="s">
        <v>372</v>
      </c>
      <c r="AI74" s="63" t="s">
        <v>217</v>
      </c>
      <c r="AJ74" s="63" t="s">
        <v>216</v>
      </c>
      <c r="AK74" s="63" t="s">
        <v>438</v>
      </c>
      <c r="AL74" s="61" t="s">
        <v>138</v>
      </c>
      <c r="AM74" s="61" t="s">
        <v>150</v>
      </c>
      <c r="AN74" s="61" t="s">
        <v>138</v>
      </c>
      <c r="AO74" s="61" t="s">
        <v>216</v>
      </c>
      <c r="AP74" s="63" t="s">
        <v>216</v>
      </c>
      <c r="AQ74" s="61" t="s">
        <v>863</v>
      </c>
      <c r="AR74" s="61" t="s">
        <v>1196</v>
      </c>
      <c r="AS74" s="61" t="s">
        <v>1552</v>
      </c>
      <c r="AT74" s="61"/>
      <c r="AU74" s="61" t="s">
        <v>1194</v>
      </c>
      <c r="AV74" s="141" t="s">
        <v>1553</v>
      </c>
      <c r="AW74" s="164" t="s">
        <v>1554</v>
      </c>
      <c r="AX74" s="61" t="s">
        <v>1359</v>
      </c>
      <c r="AY74" s="61" t="s">
        <v>776</v>
      </c>
      <c r="AZ74" s="63" t="s">
        <v>776</v>
      </c>
      <c r="BA74" s="63" t="s">
        <v>776</v>
      </c>
      <c r="BB74" s="64"/>
      <c r="BC74" s="61"/>
      <c r="BD74" s="61"/>
      <c r="BE74" s="142"/>
      <c r="BF74" s="77" t="s">
        <v>1555</v>
      </c>
      <c r="BG74" s="61" t="s">
        <v>474</v>
      </c>
      <c r="BH74" s="144"/>
      <c r="BI74" s="60"/>
      <c r="BJ74" s="65" t="s">
        <v>179</v>
      </c>
      <c r="BK74" s="65"/>
      <c r="BL74" s="65"/>
      <c r="BM74" s="66"/>
      <c r="BN74" s="66"/>
      <c r="BO74" s="66"/>
      <c r="BP74" s="66"/>
      <c r="BQ74" s="66"/>
    </row>
    <row r="75" spans="1:69" ht="15.6" customHeight="1">
      <c r="A75" s="60">
        <v>7956</v>
      </c>
      <c r="B75" s="60" t="s">
        <v>572</v>
      </c>
      <c r="C75" s="65" t="s">
        <v>212</v>
      </c>
      <c r="D75" s="53">
        <v>46203</v>
      </c>
      <c r="E75" s="61" t="s">
        <v>1081</v>
      </c>
      <c r="F75" s="85" t="s">
        <v>546</v>
      </c>
      <c r="G75" s="90" t="s">
        <v>1556</v>
      </c>
      <c r="H75" s="60" t="s">
        <v>573</v>
      </c>
      <c r="I75" s="61" t="s">
        <v>681</v>
      </c>
      <c r="J75" s="61"/>
      <c r="K75" s="61"/>
      <c r="L75" s="61"/>
      <c r="M75" s="65" t="s">
        <v>1276</v>
      </c>
      <c r="N75" s="65" t="s">
        <v>920</v>
      </c>
      <c r="O75" s="82"/>
      <c r="P75" s="85">
        <v>1</v>
      </c>
      <c r="Q75" s="157"/>
      <c r="R75" s="151"/>
      <c r="S75" s="152"/>
      <c r="T75" s="153"/>
      <c r="U75" s="158"/>
      <c r="V75" s="158"/>
      <c r="W75" s="155" t="s">
        <v>1279</v>
      </c>
      <c r="X75" s="155" t="s">
        <v>1288</v>
      </c>
      <c r="Y75" s="155" t="s">
        <v>1288</v>
      </c>
      <c r="Z75" s="156"/>
      <c r="AA75" s="147" t="s">
        <v>1423</v>
      </c>
      <c r="AB75" s="61" t="s">
        <v>1279</v>
      </c>
      <c r="AC75" s="61" t="s">
        <v>1288</v>
      </c>
      <c r="AD75" s="61" t="s">
        <v>1288</v>
      </c>
      <c r="AE75" s="61" t="s">
        <v>150</v>
      </c>
      <c r="AF75" s="62" t="s">
        <v>1200</v>
      </c>
      <c r="AG75" s="61" t="s">
        <v>150</v>
      </c>
      <c r="AH75" s="61" t="s">
        <v>216</v>
      </c>
      <c r="AI75" s="63" t="s">
        <v>216</v>
      </c>
      <c r="AJ75" s="63" t="s">
        <v>216</v>
      </c>
      <c r="AK75" s="63" t="s">
        <v>1042</v>
      </c>
      <c r="AL75" s="61" t="s">
        <v>138</v>
      </c>
      <c r="AM75" s="61" t="s">
        <v>150</v>
      </c>
      <c r="AN75" s="61" t="s">
        <v>150</v>
      </c>
      <c r="AO75" s="61" t="s">
        <v>216</v>
      </c>
      <c r="AP75" s="63" t="s">
        <v>216</v>
      </c>
      <c r="AQ75" s="61" t="s">
        <v>863</v>
      </c>
      <c r="AR75" s="61" t="s">
        <v>372</v>
      </c>
      <c r="AS75" s="61" t="s">
        <v>1557</v>
      </c>
      <c r="AT75" s="61"/>
      <c r="AU75" s="61" t="s">
        <v>905</v>
      </c>
      <c r="AV75" s="141" t="s">
        <v>1558</v>
      </c>
      <c r="AW75" s="164" t="s">
        <v>1527</v>
      </c>
      <c r="AX75" s="61" t="s">
        <v>1359</v>
      </c>
      <c r="AY75" s="61" t="s">
        <v>776</v>
      </c>
      <c r="AZ75" s="63" t="s">
        <v>216</v>
      </c>
      <c r="BA75" s="63" t="s">
        <v>216</v>
      </c>
      <c r="BB75" s="64"/>
      <c r="BC75" s="61"/>
      <c r="BD75" s="61"/>
      <c r="BE75" s="142"/>
      <c r="BF75" s="65" t="s">
        <v>138</v>
      </c>
      <c r="BG75" s="61" t="s">
        <v>474</v>
      </c>
      <c r="BH75" s="165"/>
      <c r="BI75" s="66"/>
      <c r="BJ75" s="65" t="s">
        <v>179</v>
      </c>
      <c r="BK75" s="65"/>
      <c r="BL75" s="65"/>
      <c r="BM75" s="66"/>
      <c r="BN75" s="66"/>
      <c r="BO75" s="66"/>
      <c r="BP75" s="66"/>
      <c r="BQ75" s="66"/>
    </row>
    <row r="76" spans="1:69" ht="15.6" customHeight="1">
      <c r="A76" s="60">
        <v>7957</v>
      </c>
      <c r="B76" s="60" t="s">
        <v>576</v>
      </c>
      <c r="C76" s="65" t="s">
        <v>212</v>
      </c>
      <c r="D76" s="81">
        <v>46387</v>
      </c>
      <c r="E76" s="90" t="s">
        <v>1203</v>
      </c>
      <c r="F76" s="85" t="s">
        <v>546</v>
      </c>
      <c r="G76" s="85"/>
      <c r="H76" s="60" t="s">
        <v>577</v>
      </c>
      <c r="I76" s="61" t="s">
        <v>681</v>
      </c>
      <c r="J76" s="61"/>
      <c r="K76" s="61"/>
      <c r="L76" s="61"/>
      <c r="M76" s="65" t="s">
        <v>1276</v>
      </c>
      <c r="N76" s="65" t="s">
        <v>920</v>
      </c>
      <c r="O76" s="82"/>
      <c r="P76" s="85">
        <v>1</v>
      </c>
      <c r="Q76" s="157"/>
      <c r="R76" s="151"/>
      <c r="S76" s="152"/>
      <c r="T76" s="153"/>
      <c r="U76" s="158"/>
      <c r="V76" s="158"/>
      <c r="W76" s="155" t="s">
        <v>1279</v>
      </c>
      <c r="X76" s="155" t="s">
        <v>1288</v>
      </c>
      <c r="Y76" s="155" t="s">
        <v>1288</v>
      </c>
      <c r="Z76" s="156"/>
      <c r="AA76" s="147" t="s">
        <v>1423</v>
      </c>
      <c r="AB76" s="61" t="s">
        <v>1279</v>
      </c>
      <c r="AC76" s="61" t="s">
        <v>1288</v>
      </c>
      <c r="AD76" s="61" t="s">
        <v>1288</v>
      </c>
      <c r="AE76" s="61" t="s">
        <v>150</v>
      </c>
      <c r="AF76" s="86" t="s">
        <v>216</v>
      </c>
      <c r="AG76" s="61" t="s">
        <v>216</v>
      </c>
      <c r="AH76" s="90" t="s">
        <v>216</v>
      </c>
      <c r="AI76" s="63" t="s">
        <v>216</v>
      </c>
      <c r="AJ76" s="63" t="s">
        <v>216</v>
      </c>
      <c r="AK76" s="63" t="s">
        <v>438</v>
      </c>
      <c r="AL76" s="61" t="s">
        <v>138</v>
      </c>
      <c r="AM76" s="61" t="s">
        <v>1201</v>
      </c>
      <c r="AN76" s="61" t="s">
        <v>150</v>
      </c>
      <c r="AO76" s="61" t="s">
        <v>216</v>
      </c>
      <c r="AP76" s="63" t="s">
        <v>216</v>
      </c>
      <c r="AQ76" s="61" t="s">
        <v>863</v>
      </c>
      <c r="AR76" s="90" t="s">
        <v>1202</v>
      </c>
      <c r="AS76" s="61" t="s">
        <v>1559</v>
      </c>
      <c r="AT76" s="61" t="s">
        <v>1282</v>
      </c>
      <c r="AU76" s="61" t="s">
        <v>905</v>
      </c>
      <c r="AV76" s="139" t="s">
        <v>1560</v>
      </c>
      <c r="AW76" s="164" t="s">
        <v>1561</v>
      </c>
      <c r="AX76" s="61" t="s">
        <v>1359</v>
      </c>
      <c r="AY76" s="61" t="s">
        <v>776</v>
      </c>
      <c r="AZ76" s="63" t="s">
        <v>216</v>
      </c>
      <c r="BA76" s="63" t="s">
        <v>216</v>
      </c>
      <c r="BB76" s="64"/>
      <c r="BC76" s="61"/>
      <c r="BD76" s="61"/>
      <c r="BE76" s="149"/>
      <c r="BF76" s="90" t="s">
        <v>150</v>
      </c>
      <c r="BG76" s="61" t="s">
        <v>474</v>
      </c>
      <c r="BH76" s="161"/>
      <c r="BI76" s="86"/>
      <c r="BJ76" s="65" t="s">
        <v>179</v>
      </c>
      <c r="BK76" s="65"/>
      <c r="BL76" s="65"/>
      <c r="BM76" s="66"/>
      <c r="BN76" s="66"/>
      <c r="BO76" s="66"/>
      <c r="BP76" s="66"/>
      <c r="BQ76" s="66"/>
    </row>
    <row r="77" spans="1:69" ht="15.6" customHeight="1">
      <c r="A77" s="60">
        <v>7959</v>
      </c>
      <c r="B77" s="60" t="s">
        <v>580</v>
      </c>
      <c r="C77" s="65" t="s">
        <v>223</v>
      </c>
      <c r="D77" s="53">
        <v>46112</v>
      </c>
      <c r="E77" s="53" t="s">
        <v>472</v>
      </c>
      <c r="F77" s="64" t="s">
        <v>866</v>
      </c>
      <c r="G77" s="68" t="s">
        <v>1485</v>
      </c>
      <c r="H77" s="60" t="s">
        <v>581</v>
      </c>
      <c r="I77" s="61" t="s">
        <v>681</v>
      </c>
      <c r="J77" s="61"/>
      <c r="K77" s="61"/>
      <c r="L77" s="61"/>
      <c r="M77" s="65" t="s">
        <v>1276</v>
      </c>
      <c r="N77" s="65" t="s">
        <v>814</v>
      </c>
      <c r="O77" s="82"/>
      <c r="P77" s="85">
        <v>1</v>
      </c>
      <c r="Q77" s="157"/>
      <c r="R77" s="151"/>
      <c r="S77" s="152"/>
      <c r="T77" s="153"/>
      <c r="U77" s="158"/>
      <c r="V77" s="158"/>
      <c r="W77" s="155" t="s">
        <v>1279</v>
      </c>
      <c r="X77" s="155" t="s">
        <v>1280</v>
      </c>
      <c r="Y77" s="155" t="s">
        <v>1280</v>
      </c>
      <c r="Z77" s="156"/>
      <c r="AA77" s="147" t="s">
        <v>1423</v>
      </c>
      <c r="AB77" s="61" t="s">
        <v>1279</v>
      </c>
      <c r="AC77" s="61" t="s">
        <v>1280</v>
      </c>
      <c r="AD77" s="61" t="s">
        <v>1280</v>
      </c>
      <c r="AE77" s="61" t="s">
        <v>150</v>
      </c>
      <c r="AF77" s="62" t="s">
        <v>1562</v>
      </c>
      <c r="AG77" s="61" t="s">
        <v>150</v>
      </c>
      <c r="AH77" s="61" t="s">
        <v>216</v>
      </c>
      <c r="AI77" s="63" t="s">
        <v>217</v>
      </c>
      <c r="AJ77" s="63" t="s">
        <v>216</v>
      </c>
      <c r="AK77" s="63" t="s">
        <v>1563</v>
      </c>
      <c r="AL77" s="61" t="s">
        <v>138</v>
      </c>
      <c r="AM77" s="61" t="s">
        <v>150</v>
      </c>
      <c r="AN77" s="61" t="s">
        <v>138</v>
      </c>
      <c r="AO77" s="61" t="s">
        <v>216</v>
      </c>
      <c r="AP77" s="63" t="s">
        <v>216</v>
      </c>
      <c r="AQ77" s="61" t="s">
        <v>863</v>
      </c>
      <c r="AR77" s="61" t="s">
        <v>1564</v>
      </c>
      <c r="AS77" s="61" t="s">
        <v>933</v>
      </c>
      <c r="AT77" s="61"/>
      <c r="AU77" s="61" t="s">
        <v>905</v>
      </c>
      <c r="AV77" s="141" t="s">
        <v>1565</v>
      </c>
      <c r="AW77" s="62"/>
      <c r="AX77" s="61" t="s">
        <v>1359</v>
      </c>
      <c r="AY77" s="61" t="s">
        <v>776</v>
      </c>
      <c r="AZ77" s="63" t="s">
        <v>776</v>
      </c>
      <c r="BA77" s="63" t="s">
        <v>776</v>
      </c>
      <c r="BB77" s="64"/>
      <c r="BC77" s="61"/>
      <c r="BD77" s="61"/>
      <c r="BE77" s="142"/>
      <c r="BF77" s="65" t="s">
        <v>138</v>
      </c>
      <c r="BG77" s="61" t="s">
        <v>474</v>
      </c>
      <c r="BH77" s="144"/>
      <c r="BI77" s="60"/>
      <c r="BJ77" s="65" t="s">
        <v>179</v>
      </c>
      <c r="BK77" s="65"/>
      <c r="BL77" s="65"/>
      <c r="BM77" s="66"/>
      <c r="BN77" s="66"/>
      <c r="BO77" s="66"/>
      <c r="BP77" s="66"/>
      <c r="BQ77" s="66"/>
    </row>
    <row r="78" spans="1:69" ht="15.6" customHeight="1">
      <c r="A78" s="60">
        <v>8039</v>
      </c>
      <c r="B78" s="60" t="s">
        <v>584</v>
      </c>
      <c r="C78" s="65" t="s">
        <v>212</v>
      </c>
      <c r="D78" s="53">
        <v>46203</v>
      </c>
      <c r="E78" s="90" t="s">
        <v>584</v>
      </c>
      <c r="F78" s="85" t="s">
        <v>546</v>
      </c>
      <c r="G78" s="90"/>
      <c r="H78" s="60" t="s">
        <v>1566</v>
      </c>
      <c r="I78" s="61" t="s">
        <v>681</v>
      </c>
      <c r="J78" s="61"/>
      <c r="K78" s="61"/>
      <c r="L78" s="61"/>
      <c r="M78" s="85" t="s">
        <v>1276</v>
      </c>
      <c r="N78" s="85" t="s">
        <v>920</v>
      </c>
      <c r="O78" s="82"/>
      <c r="P78" s="85">
        <v>1</v>
      </c>
      <c r="Q78" s="157"/>
      <c r="R78" s="151"/>
      <c r="S78" s="152"/>
      <c r="T78" s="153"/>
      <c r="U78" s="158"/>
      <c r="V78" s="158"/>
      <c r="W78" s="155"/>
      <c r="X78" s="155"/>
      <c r="Y78" s="155"/>
      <c r="Z78" s="156"/>
      <c r="AA78" s="147"/>
      <c r="AB78" s="61"/>
      <c r="AC78" s="61"/>
      <c r="AD78" s="61"/>
      <c r="AE78" s="61" t="s">
        <v>150</v>
      </c>
      <c r="AF78" s="62" t="s">
        <v>1207</v>
      </c>
      <c r="AG78" s="61" t="s">
        <v>150</v>
      </c>
      <c r="AH78" s="61" t="s">
        <v>216</v>
      </c>
      <c r="AI78" s="63" t="s">
        <v>216</v>
      </c>
      <c r="AJ78" s="63" t="s">
        <v>216</v>
      </c>
      <c r="AK78" s="63" t="s">
        <v>438</v>
      </c>
      <c r="AL78" s="61" t="s">
        <v>138</v>
      </c>
      <c r="AM78" s="61" t="s">
        <v>150</v>
      </c>
      <c r="AN78" s="61" t="s">
        <v>150</v>
      </c>
      <c r="AO78" s="61" t="s">
        <v>216</v>
      </c>
      <c r="AP78" s="63" t="s">
        <v>216</v>
      </c>
      <c r="AQ78" s="61" t="s">
        <v>863</v>
      </c>
      <c r="AR78" s="61" t="s">
        <v>1206</v>
      </c>
      <c r="AS78" s="168" t="s">
        <v>1567</v>
      </c>
      <c r="AT78" s="61"/>
      <c r="AU78" s="61" t="s">
        <v>905</v>
      </c>
      <c r="AV78" s="141" t="s">
        <v>1568</v>
      </c>
      <c r="AW78" s="164" t="s">
        <v>1569</v>
      </c>
      <c r="AX78" s="61" t="s">
        <v>1359</v>
      </c>
      <c r="AY78" s="61" t="s">
        <v>776</v>
      </c>
      <c r="AZ78" s="63" t="s">
        <v>216</v>
      </c>
      <c r="BA78" s="63" t="s">
        <v>216</v>
      </c>
      <c r="BB78" s="64"/>
      <c r="BC78" s="61"/>
      <c r="BD78" s="61"/>
      <c r="BE78" s="142"/>
      <c r="BF78" s="61" t="s">
        <v>150</v>
      </c>
      <c r="BG78" s="61" t="s">
        <v>474</v>
      </c>
      <c r="BH78" s="144"/>
      <c r="BI78" s="60"/>
      <c r="BJ78" s="65" t="s">
        <v>179</v>
      </c>
      <c r="BK78" s="65"/>
      <c r="BL78" s="65"/>
      <c r="BM78" s="66"/>
      <c r="BN78" s="66"/>
      <c r="BO78" s="66"/>
      <c r="BP78" s="66"/>
      <c r="BQ78" s="66"/>
    </row>
    <row r="79" spans="1:69" ht="15.6" customHeight="1">
      <c r="A79" s="60">
        <v>9999</v>
      </c>
      <c r="B79" s="62" t="s">
        <v>588</v>
      </c>
      <c r="C79" s="65" t="s">
        <v>223</v>
      </c>
      <c r="D79" s="53">
        <v>46387</v>
      </c>
      <c r="E79" s="64" t="s">
        <v>588</v>
      </c>
      <c r="F79" s="64"/>
      <c r="G79" s="64"/>
      <c r="H79" s="62" t="s">
        <v>1570</v>
      </c>
      <c r="I79" s="61" t="s">
        <v>681</v>
      </c>
      <c r="J79" s="61"/>
      <c r="K79" s="61" t="s">
        <v>138</v>
      </c>
      <c r="L79" s="61"/>
      <c r="M79" s="61" t="s">
        <v>1276</v>
      </c>
      <c r="N79" s="61" t="s">
        <v>655</v>
      </c>
      <c r="O79" s="82"/>
      <c r="P79" s="67">
        <v>1</v>
      </c>
      <c r="Q79" s="65"/>
      <c r="R79" s="65"/>
      <c r="S79" s="65"/>
      <c r="T79" s="65"/>
      <c r="U79" s="65"/>
      <c r="V79" s="65"/>
      <c r="W79" s="147"/>
      <c r="X79" s="147"/>
      <c r="Y79" s="147"/>
      <c r="Z79" s="147"/>
      <c r="AA79" s="147"/>
      <c r="AB79" s="65" t="s">
        <v>1279</v>
      </c>
      <c r="AC79" s="61" t="s">
        <v>1288</v>
      </c>
      <c r="AD79" s="61" t="s">
        <v>1288</v>
      </c>
      <c r="AE79" s="61" t="s">
        <v>138</v>
      </c>
      <c r="AF79" s="62" t="s">
        <v>1213</v>
      </c>
      <c r="AG79" s="61" t="s">
        <v>138</v>
      </c>
      <c r="AH79" s="61"/>
      <c r="AI79" s="63" t="s">
        <v>1571</v>
      </c>
      <c r="AJ79" s="77" t="s">
        <v>1572</v>
      </c>
      <c r="AK79" s="77" t="s">
        <v>438</v>
      </c>
      <c r="AL79" s="61" t="s">
        <v>138</v>
      </c>
      <c r="AM79" s="61" t="s">
        <v>138</v>
      </c>
      <c r="AN79" s="61" t="s">
        <v>138</v>
      </c>
      <c r="AO79" s="61" t="s">
        <v>791</v>
      </c>
      <c r="AP79" s="77" t="s">
        <v>791</v>
      </c>
      <c r="AQ79" s="61" t="s">
        <v>668</v>
      </c>
      <c r="AR79" s="61" t="s">
        <v>219</v>
      </c>
      <c r="AS79" s="61" t="s">
        <v>682</v>
      </c>
      <c r="AT79" s="61" t="s">
        <v>1282</v>
      </c>
      <c r="AU79" s="61" t="s">
        <v>1209</v>
      </c>
      <c r="AV79" s="60" t="s">
        <v>1573</v>
      </c>
      <c r="AW79" s="62"/>
      <c r="AX79" s="61" t="s">
        <v>132</v>
      </c>
      <c r="AY79" s="61" t="s">
        <v>157</v>
      </c>
      <c r="AZ79" s="61" t="s">
        <v>699</v>
      </c>
      <c r="BA79" s="61" t="s">
        <v>700</v>
      </c>
      <c r="BB79" s="111" t="s">
        <v>215</v>
      </c>
      <c r="BC79" s="61"/>
      <c r="BD79" s="61"/>
      <c r="BE79" s="103"/>
      <c r="BF79" s="61" t="s">
        <v>150</v>
      </c>
      <c r="BG79" s="61" t="s">
        <v>1574</v>
      </c>
      <c r="BH79" s="62"/>
      <c r="BI79" s="60"/>
      <c r="BJ79" s="65" t="s">
        <v>1278</v>
      </c>
      <c r="BK79" s="65"/>
      <c r="BL79" s="65"/>
      <c r="BM79" s="66"/>
      <c r="BN79" s="66"/>
      <c r="BO79" s="66"/>
      <c r="BP79" s="66"/>
      <c r="BQ79" s="66"/>
    </row>
    <row r="80" spans="1:69" ht="15.6" customHeight="1">
      <c r="A80" s="110" t="s">
        <v>591</v>
      </c>
      <c r="B80" s="62" t="s">
        <v>592</v>
      </c>
      <c r="C80" s="61" t="s">
        <v>223</v>
      </c>
      <c r="D80" s="53">
        <v>46112</v>
      </c>
      <c r="E80" s="64" t="s">
        <v>592</v>
      </c>
      <c r="F80" s="64" t="s">
        <v>1575</v>
      </c>
      <c r="G80" s="68" t="s">
        <v>1576</v>
      </c>
      <c r="H80" s="62" t="s">
        <v>1577</v>
      </c>
      <c r="I80" s="61" t="s">
        <v>681</v>
      </c>
      <c r="J80" s="61" t="s">
        <v>1575</v>
      </c>
      <c r="K80" s="61" t="s">
        <v>138</v>
      </c>
      <c r="L80" s="107"/>
      <c r="M80" s="107" t="s">
        <v>1276</v>
      </c>
      <c r="N80" s="107" t="s">
        <v>655</v>
      </c>
      <c r="O80" s="169" t="s">
        <v>215</v>
      </c>
      <c r="P80" s="148">
        <v>1</v>
      </c>
      <c r="Q80" s="65"/>
      <c r="R80" s="65"/>
      <c r="S80" s="65"/>
      <c r="T80" s="65"/>
      <c r="U80" s="65"/>
      <c r="V80" s="65"/>
      <c r="W80" s="147"/>
      <c r="X80" s="147"/>
      <c r="Y80" s="147"/>
      <c r="Z80" s="147"/>
      <c r="AA80" s="147"/>
      <c r="AB80" s="61" t="s">
        <v>1303</v>
      </c>
      <c r="AC80" s="61" t="s">
        <v>1288</v>
      </c>
      <c r="AD80" s="61" t="s">
        <v>1288</v>
      </c>
      <c r="AE80" s="61" t="s">
        <v>138</v>
      </c>
      <c r="AF80" s="62" t="s">
        <v>594</v>
      </c>
      <c r="AG80" s="61" t="s">
        <v>138</v>
      </c>
      <c r="AH80" s="107"/>
      <c r="AI80" s="63" t="s">
        <v>160</v>
      </c>
      <c r="AJ80" s="77"/>
      <c r="AK80" s="77" t="s">
        <v>221</v>
      </c>
      <c r="AL80" s="107" t="s">
        <v>150</v>
      </c>
      <c r="AM80" s="107" t="s">
        <v>150</v>
      </c>
      <c r="AN80" s="107" t="s">
        <v>150</v>
      </c>
      <c r="AO80" s="107" t="s">
        <v>150</v>
      </c>
      <c r="AP80" s="77" t="s">
        <v>842</v>
      </c>
      <c r="AQ80" s="107" t="s">
        <v>668</v>
      </c>
      <c r="AR80" s="107" t="s">
        <v>178</v>
      </c>
      <c r="AS80" s="107" t="s">
        <v>1578</v>
      </c>
      <c r="AT80" s="107"/>
      <c r="AU80" s="107" t="s">
        <v>1579</v>
      </c>
      <c r="AV80" s="60" t="s">
        <v>1580</v>
      </c>
      <c r="AW80" s="62"/>
      <c r="AX80" s="61" t="s">
        <v>132</v>
      </c>
      <c r="AY80" s="61" t="s">
        <v>1309</v>
      </c>
      <c r="AZ80" s="77" t="s">
        <v>843</v>
      </c>
      <c r="BA80" s="77" t="s">
        <v>1334</v>
      </c>
      <c r="BB80" s="64"/>
      <c r="BC80" s="61"/>
      <c r="BD80" s="61"/>
      <c r="BE80" s="103"/>
      <c r="BF80" s="61" t="s">
        <v>150</v>
      </c>
      <c r="BG80" s="61" t="s">
        <v>143</v>
      </c>
      <c r="BH80" s="62"/>
      <c r="BI80" s="60"/>
      <c r="BJ80" s="65" t="s">
        <v>1278</v>
      </c>
      <c r="BK80" s="65"/>
      <c r="BL80" s="65"/>
      <c r="BM80" s="66"/>
      <c r="BN80" s="66"/>
      <c r="BO80" s="66"/>
      <c r="BP80" s="66"/>
      <c r="BQ80" s="66"/>
    </row>
  </sheetData>
  <dataValidations count="1">
    <dataValidation type="list" allowBlank="1" showInputMessage="1" showErrorMessage="1" sqref="AP11:AP31 AP34 AP36" xr:uid="{D59AD47B-7ADE-472D-85E6-BF5F8A5C25DC}">
      <formula1>"N/A, On-prem (rare), OTS/App Capability, S3, Glacier, Data Lakehouse, Hybrid (data Lakehouse + Gacier)"</formula1>
    </dataValidation>
  </dataValidations>
  <hyperlinks>
    <hyperlink ref="BL12" r:id="rId1" xr:uid="{C129E98D-4DD6-459A-87F1-A8BB0696A4D5}"/>
    <hyperlink ref="BL17" r:id="rId2" xr:uid="{9B8367E5-7E0E-4A0F-B0DC-CE50168D3F12}"/>
    <hyperlink ref="BL18" r:id="rId3" xr:uid="{FBE69B4E-CB78-4D1A-8F45-9DDB6241610D}"/>
    <hyperlink ref="BL34" r:id="rId4" xr:uid="{77F25BF3-D969-4C2B-AA92-DE2D362E6534}"/>
    <hyperlink ref="BL38" r:id="rId5" xr:uid="{7C23EEEE-F51F-4692-8AE7-22C4D6D8B219}"/>
    <hyperlink ref="BM38" r:id="rId6" xr:uid="{83004F27-9EDA-4872-B0C1-64ED87345205}"/>
    <hyperlink ref="BN38" r:id="rId7" xr:uid="{158E7DED-87C5-4E65-B7F9-2A9B3DB8796E}"/>
  </hyperlinks>
  <pageMargins left="0.7" right="0.7" top="0.75" bottom="0.75" header="0.3" footer="0.3"/>
  <legacy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FD6B-536E-42D6-9504-3B322B1A9604}">
  <dimension ref="A1:O109"/>
  <sheetViews>
    <sheetView workbookViewId="0">
      <selection activeCell="A6" sqref="A6"/>
    </sheetView>
  </sheetViews>
  <sheetFormatPr defaultRowHeight="15"/>
  <cols>
    <col min="1" max="1" width="6.42578125" bestFit="1" customWidth="1"/>
    <col min="2" max="2" width="41.42578125" bestFit="1" customWidth="1"/>
    <col min="3" max="3" width="21.42578125" bestFit="1" customWidth="1"/>
    <col min="4" max="4" width="17.5703125" customWidth="1"/>
    <col min="5" max="5" width="19.5703125" bestFit="1" customWidth="1"/>
    <col min="6" max="6" width="20.5703125" bestFit="1" customWidth="1"/>
    <col min="7" max="7" width="15.42578125" bestFit="1" customWidth="1"/>
    <col min="8" max="8" width="44.42578125" bestFit="1" customWidth="1"/>
    <col min="9" max="9" width="17.42578125" bestFit="1" customWidth="1"/>
    <col min="10" max="11" width="18.5703125" bestFit="1" customWidth="1"/>
    <col min="12" max="12" width="49" bestFit="1" customWidth="1"/>
    <col min="13" max="13" width="255.5703125" bestFit="1" customWidth="1"/>
    <col min="14" max="14" width="29.5703125" bestFit="1" customWidth="1"/>
    <col min="15" max="15" width="10.5703125" bestFit="1" customWidth="1"/>
  </cols>
  <sheetData>
    <row r="1" spans="1:15">
      <c r="A1" s="123" t="s">
        <v>1581</v>
      </c>
      <c r="B1" s="123" t="s">
        <v>13</v>
      </c>
      <c r="C1" s="124" t="s">
        <v>1582</v>
      </c>
      <c r="D1" s="123" t="s">
        <v>14</v>
      </c>
      <c r="E1" s="123" t="s">
        <v>21</v>
      </c>
      <c r="F1" s="123" t="s">
        <v>1239</v>
      </c>
      <c r="G1" s="123" t="s">
        <v>1240</v>
      </c>
      <c r="H1" s="123" t="s">
        <v>1583</v>
      </c>
      <c r="I1" s="123" t="s">
        <v>1584</v>
      </c>
      <c r="J1" s="123" t="s">
        <v>1245</v>
      </c>
      <c r="K1" s="123" t="s">
        <v>1246</v>
      </c>
      <c r="L1" s="123" t="s">
        <v>1585</v>
      </c>
      <c r="M1" s="123" t="s">
        <v>609</v>
      </c>
      <c r="N1" s="123" t="s">
        <v>1264</v>
      </c>
      <c r="O1" s="123" t="s">
        <v>1586</v>
      </c>
    </row>
    <row r="2" spans="1:15">
      <c r="A2">
        <v>451</v>
      </c>
      <c r="B2" t="s">
        <v>209</v>
      </c>
      <c r="C2" s="125" t="s">
        <v>184</v>
      </c>
      <c r="D2" t="s">
        <v>210</v>
      </c>
      <c r="E2" t="s">
        <v>655</v>
      </c>
      <c r="F2" t="s">
        <v>215</v>
      </c>
      <c r="G2" t="s">
        <v>215</v>
      </c>
      <c r="H2" t="s">
        <v>215</v>
      </c>
      <c r="I2" t="s">
        <v>215</v>
      </c>
      <c r="J2" t="s">
        <v>215</v>
      </c>
      <c r="K2" t="s">
        <v>215</v>
      </c>
      <c r="L2" t="s">
        <v>215</v>
      </c>
      <c r="M2" t="s">
        <v>215</v>
      </c>
      <c r="N2" t="s">
        <v>215</v>
      </c>
      <c r="O2" t="s">
        <v>132</v>
      </c>
    </row>
    <row r="3" spans="1:15">
      <c r="A3">
        <v>909</v>
      </c>
      <c r="B3" t="s">
        <v>219</v>
      </c>
      <c r="C3" s="125" t="s">
        <v>184</v>
      </c>
      <c r="D3" t="s">
        <v>220</v>
      </c>
      <c r="E3" t="s">
        <v>655</v>
      </c>
      <c r="F3" t="s">
        <v>138</v>
      </c>
      <c r="G3" t="s">
        <v>138</v>
      </c>
      <c r="H3" t="s">
        <v>219</v>
      </c>
      <c r="I3" t="s">
        <v>138</v>
      </c>
      <c r="J3" t="s">
        <v>138</v>
      </c>
      <c r="K3" t="s">
        <v>138</v>
      </c>
      <c r="L3" t="s">
        <v>668</v>
      </c>
      <c r="M3" t="s">
        <v>1281</v>
      </c>
      <c r="N3" t="s">
        <v>215</v>
      </c>
      <c r="O3" t="s">
        <v>132</v>
      </c>
    </row>
    <row r="4" spans="1:15">
      <c r="A4">
        <v>910</v>
      </c>
      <c r="B4" t="s">
        <v>227</v>
      </c>
      <c r="C4" s="125" t="s">
        <v>184</v>
      </c>
      <c r="D4" t="s">
        <v>228</v>
      </c>
      <c r="E4" t="s">
        <v>655</v>
      </c>
      <c r="F4" t="s">
        <v>138</v>
      </c>
      <c r="G4" t="s">
        <v>138</v>
      </c>
      <c r="H4" t="s">
        <v>227</v>
      </c>
      <c r="I4" t="s">
        <v>138</v>
      </c>
      <c r="J4" t="s">
        <v>138</v>
      </c>
      <c r="K4" t="s">
        <v>138</v>
      </c>
      <c r="L4" t="s">
        <v>668</v>
      </c>
      <c r="M4" t="s">
        <v>1281</v>
      </c>
      <c r="N4" t="s">
        <v>215</v>
      </c>
      <c r="O4" t="s">
        <v>132</v>
      </c>
    </row>
    <row r="5" spans="1:15">
      <c r="A5">
        <v>911</v>
      </c>
      <c r="B5" t="s">
        <v>232</v>
      </c>
      <c r="C5" s="125" t="s">
        <v>184</v>
      </c>
      <c r="D5" t="s">
        <v>233</v>
      </c>
      <c r="E5" t="s">
        <v>655</v>
      </c>
      <c r="F5" t="s">
        <v>138</v>
      </c>
      <c r="G5" t="s">
        <v>138</v>
      </c>
      <c r="H5" t="s">
        <v>232</v>
      </c>
      <c r="I5" t="s">
        <v>138</v>
      </c>
      <c r="J5" t="s">
        <v>138</v>
      </c>
      <c r="K5" t="s">
        <v>138</v>
      </c>
      <c r="L5" t="s">
        <v>668</v>
      </c>
      <c r="M5" t="s">
        <v>1281</v>
      </c>
      <c r="N5" t="s">
        <v>215</v>
      </c>
      <c r="O5" t="s">
        <v>132</v>
      </c>
    </row>
    <row r="6" spans="1:15">
      <c r="A6">
        <v>912</v>
      </c>
      <c r="B6" t="s">
        <v>236</v>
      </c>
      <c r="C6" s="125" t="s">
        <v>184</v>
      </c>
      <c r="D6" t="s">
        <v>237</v>
      </c>
      <c r="E6" t="s">
        <v>655</v>
      </c>
      <c r="F6" t="s">
        <v>138</v>
      </c>
      <c r="G6" t="s">
        <v>138</v>
      </c>
      <c r="H6" t="s">
        <v>236</v>
      </c>
      <c r="I6" t="s">
        <v>138</v>
      </c>
      <c r="J6" t="s">
        <v>138</v>
      </c>
      <c r="K6" t="s">
        <v>138</v>
      </c>
      <c r="L6" t="s">
        <v>668</v>
      </c>
      <c r="M6" t="s">
        <v>1287</v>
      </c>
      <c r="N6" t="s">
        <v>215</v>
      </c>
      <c r="O6" t="s">
        <v>132</v>
      </c>
    </row>
    <row r="7" spans="1:15">
      <c r="A7">
        <v>921</v>
      </c>
      <c r="B7" t="s">
        <v>240</v>
      </c>
      <c r="C7" s="125" t="s">
        <v>184</v>
      </c>
      <c r="D7" t="s">
        <v>241</v>
      </c>
      <c r="E7" t="s">
        <v>655</v>
      </c>
      <c r="F7" t="s">
        <v>138</v>
      </c>
      <c r="G7" t="s">
        <v>138</v>
      </c>
      <c r="H7" t="s">
        <v>243</v>
      </c>
      <c r="I7" t="s">
        <v>138</v>
      </c>
      <c r="J7" t="s">
        <v>138</v>
      </c>
      <c r="K7" t="s">
        <v>138</v>
      </c>
      <c r="L7" t="s">
        <v>668</v>
      </c>
      <c r="M7" t="s">
        <v>1287</v>
      </c>
      <c r="N7" t="s">
        <v>215</v>
      </c>
      <c r="O7" t="s">
        <v>132</v>
      </c>
    </row>
    <row r="8" spans="1:15">
      <c r="A8">
        <v>923</v>
      </c>
      <c r="B8" t="s">
        <v>245</v>
      </c>
      <c r="C8" s="125" t="s">
        <v>184</v>
      </c>
      <c r="D8" t="s">
        <v>246</v>
      </c>
      <c r="E8" t="s">
        <v>655</v>
      </c>
      <c r="F8" t="s">
        <v>138</v>
      </c>
      <c r="G8" t="s">
        <v>138</v>
      </c>
      <c r="H8" t="s">
        <v>245</v>
      </c>
      <c r="I8" t="s">
        <v>138</v>
      </c>
      <c r="J8" t="s">
        <v>138</v>
      </c>
      <c r="K8" t="s">
        <v>138</v>
      </c>
      <c r="L8" t="s">
        <v>668</v>
      </c>
      <c r="M8" t="s">
        <v>1291</v>
      </c>
      <c r="N8" t="s">
        <v>215</v>
      </c>
      <c r="O8" t="s">
        <v>132</v>
      </c>
    </row>
    <row r="9" spans="1:15">
      <c r="A9">
        <v>924</v>
      </c>
      <c r="B9" t="s">
        <v>249</v>
      </c>
      <c r="C9" s="125" t="s">
        <v>184</v>
      </c>
      <c r="D9" t="s">
        <v>250</v>
      </c>
      <c r="E9" t="s">
        <v>655</v>
      </c>
      <c r="F9" t="s">
        <v>138</v>
      </c>
      <c r="G9" t="s">
        <v>138</v>
      </c>
      <c r="H9" t="s">
        <v>249</v>
      </c>
      <c r="I9" t="s">
        <v>138</v>
      </c>
      <c r="J9" t="s">
        <v>138</v>
      </c>
      <c r="K9" t="s">
        <v>138</v>
      </c>
      <c r="L9" t="s">
        <v>668</v>
      </c>
      <c r="M9" t="s">
        <v>1293</v>
      </c>
      <c r="N9" t="s">
        <v>215</v>
      </c>
      <c r="O9" t="s">
        <v>132</v>
      </c>
    </row>
    <row r="10" spans="1:15">
      <c r="A10">
        <v>926</v>
      </c>
      <c r="B10" t="s">
        <v>253</v>
      </c>
      <c r="C10" s="125" t="s">
        <v>184</v>
      </c>
      <c r="D10" t="s">
        <v>254</v>
      </c>
      <c r="E10" t="s">
        <v>655</v>
      </c>
      <c r="F10" t="s">
        <v>138</v>
      </c>
      <c r="G10" t="s">
        <v>138</v>
      </c>
      <c r="H10" t="s">
        <v>253</v>
      </c>
      <c r="I10" t="s">
        <v>138</v>
      </c>
      <c r="J10" t="s">
        <v>138</v>
      </c>
      <c r="K10" t="s">
        <v>138</v>
      </c>
      <c r="L10" t="s">
        <v>668</v>
      </c>
      <c r="M10" t="s">
        <v>1287</v>
      </c>
      <c r="N10" t="s">
        <v>215</v>
      </c>
      <c r="O10" t="s">
        <v>132</v>
      </c>
    </row>
    <row r="11" spans="1:15">
      <c r="A11">
        <v>940</v>
      </c>
      <c r="B11" t="s">
        <v>257</v>
      </c>
      <c r="C11" s="125" t="s">
        <v>184</v>
      </c>
      <c r="D11" t="s">
        <v>258</v>
      </c>
      <c r="E11" t="s">
        <v>655</v>
      </c>
      <c r="F11" t="s">
        <v>259</v>
      </c>
      <c r="G11" t="s">
        <v>138</v>
      </c>
      <c r="H11" t="s">
        <v>215</v>
      </c>
      <c r="I11" t="s">
        <v>150</v>
      </c>
      <c r="J11" t="s">
        <v>138</v>
      </c>
      <c r="K11" t="s">
        <v>150</v>
      </c>
      <c r="L11" t="s">
        <v>668</v>
      </c>
      <c r="M11" t="s">
        <v>1587</v>
      </c>
      <c r="N11" t="s">
        <v>215</v>
      </c>
      <c r="O11" t="s">
        <v>132</v>
      </c>
    </row>
    <row r="12" spans="1:15">
      <c r="A12">
        <v>1025</v>
      </c>
      <c r="B12" t="s">
        <v>1588</v>
      </c>
      <c r="C12" s="125" t="s">
        <v>1589</v>
      </c>
      <c r="D12" t="s">
        <v>1590</v>
      </c>
      <c r="E12" t="s">
        <v>655</v>
      </c>
      <c r="F12" t="s">
        <v>138</v>
      </c>
      <c r="G12" t="s">
        <v>138</v>
      </c>
      <c r="H12" t="s">
        <v>1588</v>
      </c>
      <c r="I12" t="s">
        <v>150</v>
      </c>
      <c r="J12" t="s">
        <v>138</v>
      </c>
      <c r="K12" t="s">
        <v>150</v>
      </c>
      <c r="L12" t="s">
        <v>668</v>
      </c>
      <c r="M12" t="s">
        <v>215</v>
      </c>
      <c r="N12" t="s">
        <v>1591</v>
      </c>
      <c r="O12" t="s">
        <v>132</v>
      </c>
    </row>
    <row r="13" spans="1:15">
      <c r="A13">
        <v>1208</v>
      </c>
      <c r="B13" t="s">
        <v>262</v>
      </c>
      <c r="C13" s="125" t="s">
        <v>184</v>
      </c>
      <c r="D13" t="s">
        <v>263</v>
      </c>
      <c r="E13" t="s">
        <v>655</v>
      </c>
      <c r="F13" t="s">
        <v>150</v>
      </c>
      <c r="G13" t="s">
        <v>138</v>
      </c>
      <c r="H13" t="s">
        <v>215</v>
      </c>
      <c r="I13" t="s">
        <v>150</v>
      </c>
      <c r="J13" t="s">
        <v>138</v>
      </c>
      <c r="K13" t="s">
        <v>150</v>
      </c>
      <c r="L13" t="s">
        <v>668</v>
      </c>
      <c r="M13" t="s">
        <v>1306</v>
      </c>
      <c r="N13" t="s">
        <v>215</v>
      </c>
      <c r="O13" t="s">
        <v>132</v>
      </c>
    </row>
    <row r="14" spans="1:15">
      <c r="A14">
        <v>1213</v>
      </c>
      <c r="B14" t="s">
        <v>1592</v>
      </c>
      <c r="C14" s="125" t="s">
        <v>276</v>
      </c>
      <c r="D14" t="s">
        <v>1593</v>
      </c>
      <c r="E14" t="s">
        <v>655</v>
      </c>
      <c r="F14" t="s">
        <v>150</v>
      </c>
      <c r="G14" t="s">
        <v>138</v>
      </c>
      <c r="H14" t="s">
        <v>215</v>
      </c>
      <c r="I14" t="s">
        <v>150</v>
      </c>
      <c r="J14" t="s">
        <v>138</v>
      </c>
      <c r="K14" t="s">
        <v>150</v>
      </c>
      <c r="L14" t="s">
        <v>1594</v>
      </c>
      <c r="N14" t="s">
        <v>215</v>
      </c>
      <c r="O14" t="s">
        <v>132</v>
      </c>
    </row>
    <row r="15" spans="1:15">
      <c r="A15">
        <v>1214</v>
      </c>
      <c r="B15" t="s">
        <v>266</v>
      </c>
      <c r="C15" s="125" t="s">
        <v>184</v>
      </c>
      <c r="D15" t="s">
        <v>267</v>
      </c>
      <c r="E15" t="s">
        <v>655</v>
      </c>
      <c r="F15" t="s">
        <v>215</v>
      </c>
      <c r="G15" t="s">
        <v>215</v>
      </c>
      <c r="H15" t="s">
        <v>215</v>
      </c>
      <c r="I15" t="s">
        <v>215</v>
      </c>
      <c r="J15" t="s">
        <v>215</v>
      </c>
      <c r="K15" t="s">
        <v>215</v>
      </c>
      <c r="L15" t="s">
        <v>215</v>
      </c>
      <c r="M15" t="s">
        <v>215</v>
      </c>
      <c r="N15" t="s">
        <v>215</v>
      </c>
      <c r="O15" t="s">
        <v>132</v>
      </c>
    </row>
    <row r="16" spans="1:15">
      <c r="A16">
        <v>1220</v>
      </c>
      <c r="B16" t="s">
        <v>269</v>
      </c>
      <c r="C16" s="125" t="s">
        <v>184</v>
      </c>
      <c r="D16" t="s">
        <v>270</v>
      </c>
      <c r="E16" t="s">
        <v>655</v>
      </c>
      <c r="F16" t="s">
        <v>150</v>
      </c>
      <c r="G16" t="s">
        <v>150</v>
      </c>
      <c r="H16" t="s">
        <v>215</v>
      </c>
      <c r="L16" t="s">
        <v>668</v>
      </c>
      <c r="M16" t="s">
        <v>769</v>
      </c>
      <c r="N16" t="s">
        <v>215</v>
      </c>
      <c r="O16" t="s">
        <v>132</v>
      </c>
    </row>
    <row r="17" spans="1:15">
      <c r="A17">
        <v>1418</v>
      </c>
      <c r="B17" t="s">
        <v>274</v>
      </c>
      <c r="C17" s="125" t="s">
        <v>276</v>
      </c>
      <c r="D17" t="s">
        <v>275</v>
      </c>
      <c r="E17" t="s">
        <v>655</v>
      </c>
      <c r="F17" t="s">
        <v>150</v>
      </c>
      <c r="G17" t="s">
        <v>138</v>
      </c>
      <c r="H17" t="s">
        <v>215</v>
      </c>
      <c r="L17" t="s">
        <v>668</v>
      </c>
      <c r="M17" t="s">
        <v>774</v>
      </c>
      <c r="N17" t="s">
        <v>215</v>
      </c>
      <c r="O17" t="s">
        <v>132</v>
      </c>
    </row>
    <row r="18" spans="1:15">
      <c r="A18">
        <v>1551</v>
      </c>
      <c r="B18" t="s">
        <v>1595</v>
      </c>
      <c r="C18" s="125" t="s">
        <v>1589</v>
      </c>
      <c r="D18" t="s">
        <v>1596</v>
      </c>
      <c r="E18" t="s">
        <v>655</v>
      </c>
      <c r="F18" t="s">
        <v>138</v>
      </c>
      <c r="G18" t="s">
        <v>150</v>
      </c>
      <c r="H18" t="s">
        <v>215</v>
      </c>
      <c r="L18" t="s">
        <v>668</v>
      </c>
      <c r="M18" t="s">
        <v>215</v>
      </c>
      <c r="N18" t="s">
        <v>213</v>
      </c>
      <c r="O18" t="s">
        <v>132</v>
      </c>
    </row>
    <row r="19" spans="1:15">
      <c r="A19">
        <v>1660</v>
      </c>
      <c r="B19" t="s">
        <v>279</v>
      </c>
      <c r="C19" s="125" t="s">
        <v>276</v>
      </c>
      <c r="D19" t="s">
        <v>280</v>
      </c>
      <c r="E19" t="s">
        <v>655</v>
      </c>
      <c r="F19" t="s">
        <v>138</v>
      </c>
      <c r="G19" t="s">
        <v>138</v>
      </c>
      <c r="H19" t="s">
        <v>215</v>
      </c>
      <c r="I19" t="s">
        <v>138</v>
      </c>
      <c r="J19" t="s">
        <v>138</v>
      </c>
      <c r="K19" t="s">
        <v>138</v>
      </c>
      <c r="N19" t="s">
        <v>189</v>
      </c>
      <c r="O19" t="s">
        <v>132</v>
      </c>
    </row>
    <row r="20" spans="1:15">
      <c r="A20">
        <v>2887</v>
      </c>
      <c r="B20" t="s">
        <v>285</v>
      </c>
      <c r="C20" s="125" t="s">
        <v>276</v>
      </c>
      <c r="D20" t="s">
        <v>286</v>
      </c>
      <c r="E20" t="s">
        <v>920</v>
      </c>
      <c r="F20" t="s">
        <v>138</v>
      </c>
      <c r="G20" t="s">
        <v>138</v>
      </c>
      <c r="H20" t="s">
        <v>288</v>
      </c>
      <c r="I20" t="s">
        <v>150</v>
      </c>
      <c r="J20" t="s">
        <v>150</v>
      </c>
      <c r="K20" t="s">
        <v>150</v>
      </c>
      <c r="L20" t="s">
        <v>668</v>
      </c>
      <c r="N20" t="s">
        <v>215</v>
      </c>
      <c r="O20" t="s">
        <v>132</v>
      </c>
    </row>
    <row r="21" spans="1:15">
      <c r="A21">
        <v>2918</v>
      </c>
      <c r="B21" t="s">
        <v>291</v>
      </c>
      <c r="C21" s="125" t="s">
        <v>184</v>
      </c>
      <c r="D21" t="s">
        <v>292</v>
      </c>
      <c r="E21" t="s">
        <v>655</v>
      </c>
      <c r="F21" t="s">
        <v>138</v>
      </c>
      <c r="G21" t="s">
        <v>150</v>
      </c>
      <c r="H21" t="s">
        <v>291</v>
      </c>
      <c r="L21" t="s">
        <v>668</v>
      </c>
      <c r="N21" t="s">
        <v>215</v>
      </c>
      <c r="O21" t="s">
        <v>132</v>
      </c>
    </row>
    <row r="22" spans="1:15">
      <c r="A22">
        <v>4245</v>
      </c>
      <c r="B22" t="s">
        <v>295</v>
      </c>
      <c r="C22" s="125" t="s">
        <v>184</v>
      </c>
      <c r="D22" t="s">
        <v>296</v>
      </c>
      <c r="E22" t="s">
        <v>1343</v>
      </c>
      <c r="F22" t="s">
        <v>150</v>
      </c>
      <c r="G22" t="s">
        <v>150</v>
      </c>
      <c r="H22" t="s">
        <v>288</v>
      </c>
      <c r="I22" t="s">
        <v>138</v>
      </c>
      <c r="J22" t="s">
        <v>150</v>
      </c>
      <c r="K22" t="s">
        <v>138</v>
      </c>
      <c r="L22" t="s">
        <v>668</v>
      </c>
      <c r="N22" t="s">
        <v>215</v>
      </c>
      <c r="O22" t="s">
        <v>132</v>
      </c>
    </row>
    <row r="23" spans="1:15">
      <c r="A23">
        <v>4260</v>
      </c>
      <c r="B23" t="s">
        <v>299</v>
      </c>
      <c r="C23" s="125" t="s">
        <v>276</v>
      </c>
      <c r="D23" t="s">
        <v>300</v>
      </c>
      <c r="E23" t="s">
        <v>814</v>
      </c>
      <c r="F23" t="s">
        <v>138</v>
      </c>
      <c r="G23" t="s">
        <v>150</v>
      </c>
      <c r="H23" t="s">
        <v>215</v>
      </c>
      <c r="L23" t="s">
        <v>668</v>
      </c>
      <c r="M23" t="s">
        <v>215</v>
      </c>
      <c r="N23" t="s">
        <v>215</v>
      </c>
      <c r="O23" t="s">
        <v>132</v>
      </c>
    </row>
    <row r="24" spans="1:15">
      <c r="A24">
        <v>4261</v>
      </c>
      <c r="B24" t="s">
        <v>303</v>
      </c>
      <c r="C24" s="125" t="s">
        <v>276</v>
      </c>
      <c r="D24" t="s">
        <v>304</v>
      </c>
      <c r="E24" t="s">
        <v>814</v>
      </c>
      <c r="F24" t="s">
        <v>138</v>
      </c>
      <c r="G24" t="s">
        <v>215</v>
      </c>
      <c r="H24" t="s">
        <v>215</v>
      </c>
      <c r="I24" t="s">
        <v>215</v>
      </c>
      <c r="J24" t="s">
        <v>215</v>
      </c>
      <c r="K24" t="s">
        <v>215</v>
      </c>
      <c r="L24" t="s">
        <v>668</v>
      </c>
      <c r="M24" t="s">
        <v>215</v>
      </c>
      <c r="N24" t="s">
        <v>215</v>
      </c>
      <c r="O24" t="s">
        <v>132</v>
      </c>
    </row>
    <row r="25" spans="1:15">
      <c r="A25">
        <v>5281</v>
      </c>
      <c r="B25" t="s">
        <v>306</v>
      </c>
      <c r="C25" s="125" t="s">
        <v>309</v>
      </c>
      <c r="D25" t="s">
        <v>307</v>
      </c>
      <c r="E25" t="s">
        <v>655</v>
      </c>
      <c r="F25" t="s">
        <v>138</v>
      </c>
      <c r="G25" t="s">
        <v>138</v>
      </c>
      <c r="H25" t="s">
        <v>311</v>
      </c>
      <c r="I25" t="s">
        <v>150</v>
      </c>
      <c r="J25" t="s">
        <v>138</v>
      </c>
      <c r="K25" t="s">
        <v>150</v>
      </c>
      <c r="L25" t="s">
        <v>830</v>
      </c>
      <c r="M25" t="s">
        <v>1356</v>
      </c>
      <c r="N25" t="s">
        <v>215</v>
      </c>
      <c r="O25" t="s">
        <v>179</v>
      </c>
    </row>
    <row r="26" spans="1:15">
      <c r="A26">
        <v>5282</v>
      </c>
      <c r="B26" t="s">
        <v>314</v>
      </c>
      <c r="C26" s="125" t="s">
        <v>309</v>
      </c>
      <c r="D26" t="s">
        <v>315</v>
      </c>
      <c r="E26" t="s">
        <v>655</v>
      </c>
      <c r="F26" t="s">
        <v>150</v>
      </c>
      <c r="H26" t="s">
        <v>316</v>
      </c>
      <c r="L26" t="s">
        <v>830</v>
      </c>
      <c r="M26" t="s">
        <v>853</v>
      </c>
      <c r="N26" t="s">
        <v>215</v>
      </c>
      <c r="O26" t="s">
        <v>179</v>
      </c>
    </row>
    <row r="27" spans="1:15">
      <c r="A27">
        <v>5283</v>
      </c>
      <c r="B27" t="s">
        <v>318</v>
      </c>
      <c r="C27" s="125" t="s">
        <v>309</v>
      </c>
      <c r="D27" t="s">
        <v>319</v>
      </c>
      <c r="E27" t="s">
        <v>655</v>
      </c>
      <c r="F27" t="s">
        <v>138</v>
      </c>
      <c r="G27" t="s">
        <v>138</v>
      </c>
      <c r="H27" t="s">
        <v>322</v>
      </c>
      <c r="I27" t="s">
        <v>863</v>
      </c>
      <c r="J27" t="s">
        <v>864</v>
      </c>
      <c r="K27" t="s">
        <v>215</v>
      </c>
      <c r="L27" t="s">
        <v>179</v>
      </c>
    </row>
    <row r="28" spans="1:15">
      <c r="A28">
        <v>5284</v>
      </c>
      <c r="B28" t="s">
        <v>1597</v>
      </c>
      <c r="C28" s="125" t="s">
        <v>309</v>
      </c>
      <c r="D28" t="s">
        <v>1598</v>
      </c>
      <c r="E28" t="s">
        <v>655</v>
      </c>
      <c r="F28" t="s">
        <v>150</v>
      </c>
      <c r="H28" t="s">
        <v>1599</v>
      </c>
      <c r="L28" t="s">
        <v>830</v>
      </c>
      <c r="N28" t="s">
        <v>215</v>
      </c>
      <c r="O28" t="s">
        <v>179</v>
      </c>
    </row>
    <row r="29" spans="1:15">
      <c r="A29">
        <v>5285</v>
      </c>
      <c r="B29" t="s">
        <v>325</v>
      </c>
      <c r="C29" s="125" t="s">
        <v>309</v>
      </c>
      <c r="D29" t="s">
        <v>326</v>
      </c>
      <c r="E29" t="s">
        <v>655</v>
      </c>
      <c r="F29" t="s">
        <v>138</v>
      </c>
      <c r="G29" t="s">
        <v>138</v>
      </c>
      <c r="H29" t="s">
        <v>329</v>
      </c>
      <c r="I29" t="s">
        <v>150</v>
      </c>
      <c r="J29" t="s">
        <v>150</v>
      </c>
      <c r="K29" t="s">
        <v>150</v>
      </c>
      <c r="L29" t="s">
        <v>872</v>
      </c>
      <c r="M29" t="s">
        <v>873</v>
      </c>
      <c r="N29" t="s">
        <v>215</v>
      </c>
      <c r="O29" t="s">
        <v>179</v>
      </c>
    </row>
    <row r="30" spans="1:15">
      <c r="A30">
        <v>5287</v>
      </c>
      <c r="B30" t="s">
        <v>1600</v>
      </c>
      <c r="C30" s="125" t="s">
        <v>309</v>
      </c>
      <c r="D30" t="s">
        <v>1601</v>
      </c>
      <c r="E30" t="s">
        <v>655</v>
      </c>
      <c r="F30" t="s">
        <v>138</v>
      </c>
      <c r="H30" t="s">
        <v>1599</v>
      </c>
      <c r="I30" t="s">
        <v>150</v>
      </c>
      <c r="J30" t="s">
        <v>138</v>
      </c>
      <c r="K30" t="s">
        <v>150</v>
      </c>
      <c r="L30" t="s">
        <v>976</v>
      </c>
      <c r="M30" t="s">
        <v>1602</v>
      </c>
      <c r="N30" t="s">
        <v>215</v>
      </c>
      <c r="O30" t="s">
        <v>179</v>
      </c>
    </row>
    <row r="31" spans="1:15">
      <c r="A31">
        <v>5290</v>
      </c>
      <c r="B31" t="s">
        <v>331</v>
      </c>
      <c r="C31" s="125" t="s">
        <v>309</v>
      </c>
      <c r="D31" t="s">
        <v>332</v>
      </c>
      <c r="E31" t="s">
        <v>655</v>
      </c>
      <c r="F31" t="s">
        <v>150</v>
      </c>
      <c r="L31" t="s">
        <v>872</v>
      </c>
      <c r="M31" t="s">
        <v>879</v>
      </c>
      <c r="N31" t="s">
        <v>215</v>
      </c>
      <c r="O31" t="s">
        <v>179</v>
      </c>
    </row>
    <row r="32" spans="1:15">
      <c r="A32">
        <v>5292</v>
      </c>
      <c r="B32" t="s">
        <v>1603</v>
      </c>
      <c r="C32" s="125" t="s">
        <v>309</v>
      </c>
      <c r="D32" t="s">
        <v>1604</v>
      </c>
      <c r="E32" t="s">
        <v>655</v>
      </c>
      <c r="F32" t="s">
        <v>138</v>
      </c>
      <c r="G32" t="s">
        <v>215</v>
      </c>
      <c r="H32" t="s">
        <v>1605</v>
      </c>
      <c r="I32" t="s">
        <v>150</v>
      </c>
      <c r="J32" t="s">
        <v>138</v>
      </c>
      <c r="K32" t="s">
        <v>150</v>
      </c>
      <c r="L32" t="s">
        <v>863</v>
      </c>
      <c r="M32" t="s">
        <v>1606</v>
      </c>
      <c r="N32" t="s">
        <v>1607</v>
      </c>
      <c r="O32" t="s">
        <v>179</v>
      </c>
    </row>
    <row r="33" spans="1:15">
      <c r="A33">
        <v>5294</v>
      </c>
      <c r="B33" t="s">
        <v>1608</v>
      </c>
      <c r="C33" s="125" t="s">
        <v>309</v>
      </c>
      <c r="D33" t="s">
        <v>1609</v>
      </c>
      <c r="E33" t="s">
        <v>655</v>
      </c>
      <c r="F33" t="s">
        <v>150</v>
      </c>
      <c r="G33" t="s">
        <v>150</v>
      </c>
      <c r="L33" t="s">
        <v>872</v>
      </c>
      <c r="M33" t="s">
        <v>879</v>
      </c>
      <c r="N33" t="s">
        <v>215</v>
      </c>
      <c r="O33" t="s">
        <v>179</v>
      </c>
    </row>
    <row r="34" spans="1:15">
      <c r="A34">
        <v>5296</v>
      </c>
      <c r="B34" t="s">
        <v>335</v>
      </c>
      <c r="C34" s="125" t="s">
        <v>309</v>
      </c>
      <c r="D34" t="s">
        <v>336</v>
      </c>
      <c r="E34" t="s">
        <v>655</v>
      </c>
      <c r="F34" t="s">
        <v>138</v>
      </c>
      <c r="G34" t="s">
        <v>138</v>
      </c>
      <c r="H34" t="s">
        <v>316</v>
      </c>
      <c r="I34" t="s">
        <v>150</v>
      </c>
      <c r="J34" t="s">
        <v>138</v>
      </c>
      <c r="K34" t="s">
        <v>150</v>
      </c>
      <c r="L34" t="s">
        <v>830</v>
      </c>
      <c r="M34" t="s">
        <v>885</v>
      </c>
      <c r="N34" t="s">
        <v>215</v>
      </c>
      <c r="O34" t="s">
        <v>179</v>
      </c>
    </row>
    <row r="35" spans="1:15">
      <c r="A35">
        <v>5297</v>
      </c>
      <c r="B35" t="s">
        <v>1610</v>
      </c>
      <c r="C35" s="125" t="s">
        <v>309</v>
      </c>
      <c r="D35" t="s">
        <v>1611</v>
      </c>
      <c r="E35" t="s">
        <v>655</v>
      </c>
      <c r="F35" t="s">
        <v>138</v>
      </c>
      <c r="G35" t="s">
        <v>138</v>
      </c>
      <c r="H35" t="s">
        <v>1612</v>
      </c>
      <c r="I35" t="s">
        <v>150</v>
      </c>
      <c r="J35" t="s">
        <v>138</v>
      </c>
      <c r="K35" t="s">
        <v>150</v>
      </c>
      <c r="L35" t="s">
        <v>863</v>
      </c>
      <c r="M35" t="s">
        <v>1613</v>
      </c>
      <c r="N35" t="s">
        <v>215</v>
      </c>
      <c r="O35" t="s">
        <v>179</v>
      </c>
    </row>
    <row r="36" spans="1:15">
      <c r="A36">
        <v>5302</v>
      </c>
      <c r="B36" t="s">
        <v>1614</v>
      </c>
      <c r="C36" s="125" t="s">
        <v>309</v>
      </c>
      <c r="D36" t="s">
        <v>1615</v>
      </c>
      <c r="E36" t="s">
        <v>655</v>
      </c>
      <c r="F36" t="s">
        <v>138</v>
      </c>
      <c r="G36" t="s">
        <v>138</v>
      </c>
      <c r="H36" t="s">
        <v>1614</v>
      </c>
      <c r="I36" t="s">
        <v>150</v>
      </c>
      <c r="J36" t="s">
        <v>138</v>
      </c>
      <c r="K36" t="s">
        <v>150</v>
      </c>
      <c r="L36" t="s">
        <v>976</v>
      </c>
      <c r="M36" t="s">
        <v>1616</v>
      </c>
      <c r="N36" t="s">
        <v>215</v>
      </c>
      <c r="O36" t="s">
        <v>179</v>
      </c>
    </row>
    <row r="37" spans="1:15">
      <c r="A37">
        <v>5303</v>
      </c>
      <c r="B37" t="s">
        <v>870</v>
      </c>
      <c r="C37" s="125" t="s">
        <v>309</v>
      </c>
      <c r="D37" t="s">
        <v>1617</v>
      </c>
      <c r="E37" t="s">
        <v>655</v>
      </c>
      <c r="F37" t="s">
        <v>138</v>
      </c>
      <c r="G37" t="s">
        <v>138</v>
      </c>
      <c r="H37" t="s">
        <v>1618</v>
      </c>
      <c r="I37" t="s">
        <v>150</v>
      </c>
      <c r="J37" t="s">
        <v>150</v>
      </c>
      <c r="K37" t="s">
        <v>150</v>
      </c>
      <c r="L37" t="s">
        <v>863</v>
      </c>
      <c r="M37" t="s">
        <v>1619</v>
      </c>
      <c r="N37" t="s">
        <v>215</v>
      </c>
      <c r="O37" t="s">
        <v>179</v>
      </c>
    </row>
    <row r="38" spans="1:15">
      <c r="A38">
        <v>5305</v>
      </c>
      <c r="B38" t="s">
        <v>1620</v>
      </c>
      <c r="C38" s="125" t="s">
        <v>309</v>
      </c>
      <c r="D38" t="s">
        <v>1621</v>
      </c>
      <c r="E38" t="s">
        <v>906</v>
      </c>
      <c r="F38" t="s">
        <v>138</v>
      </c>
      <c r="G38" t="s">
        <v>150</v>
      </c>
      <c r="H38" t="s">
        <v>1618</v>
      </c>
      <c r="I38" t="s">
        <v>150</v>
      </c>
      <c r="J38" t="s">
        <v>150</v>
      </c>
      <c r="K38" t="s">
        <v>150</v>
      </c>
      <c r="L38" t="s">
        <v>872</v>
      </c>
      <c r="M38" t="s">
        <v>1622</v>
      </c>
      <c r="N38" t="s">
        <v>215</v>
      </c>
      <c r="O38" t="s">
        <v>179</v>
      </c>
    </row>
    <row r="39" spans="1:15">
      <c r="A39">
        <v>5306</v>
      </c>
      <c r="B39" t="s">
        <v>340</v>
      </c>
      <c r="C39" s="125" t="s">
        <v>309</v>
      </c>
      <c r="D39" t="s">
        <v>341</v>
      </c>
      <c r="E39" t="s">
        <v>655</v>
      </c>
      <c r="F39" t="s">
        <v>138</v>
      </c>
      <c r="G39" t="s">
        <v>138</v>
      </c>
      <c r="H39" t="s">
        <v>340</v>
      </c>
      <c r="I39" t="s">
        <v>138</v>
      </c>
      <c r="J39" t="s">
        <v>138</v>
      </c>
      <c r="K39" t="s">
        <v>138</v>
      </c>
      <c r="L39" t="s">
        <v>897</v>
      </c>
      <c r="M39" t="s">
        <v>215</v>
      </c>
      <c r="N39" t="s">
        <v>327</v>
      </c>
      <c r="O39" t="s">
        <v>179</v>
      </c>
    </row>
    <row r="40" spans="1:15">
      <c r="A40">
        <v>5307</v>
      </c>
      <c r="B40" t="s">
        <v>346</v>
      </c>
      <c r="C40" s="125" t="s">
        <v>309</v>
      </c>
      <c r="D40" t="s">
        <v>347</v>
      </c>
      <c r="E40" t="s">
        <v>655</v>
      </c>
      <c r="F40" t="s">
        <v>138</v>
      </c>
      <c r="G40" t="s">
        <v>138</v>
      </c>
      <c r="H40" t="s">
        <v>346</v>
      </c>
      <c r="I40" t="s">
        <v>138</v>
      </c>
      <c r="J40" t="s">
        <v>138</v>
      </c>
      <c r="K40" t="s">
        <v>138</v>
      </c>
      <c r="L40" t="s">
        <v>897</v>
      </c>
      <c r="M40" t="s">
        <v>901</v>
      </c>
      <c r="N40" t="s">
        <v>327</v>
      </c>
      <c r="O40" t="s">
        <v>179</v>
      </c>
    </row>
    <row r="41" spans="1:15">
      <c r="A41">
        <v>5308</v>
      </c>
      <c r="B41" t="s">
        <v>351</v>
      </c>
      <c r="C41" s="125" t="s">
        <v>309</v>
      </c>
      <c r="D41" t="s">
        <v>352</v>
      </c>
      <c r="E41" t="s">
        <v>906</v>
      </c>
      <c r="F41" t="s">
        <v>138</v>
      </c>
      <c r="G41" t="s">
        <v>150</v>
      </c>
      <c r="H41" t="s">
        <v>355</v>
      </c>
      <c r="L41" t="s">
        <v>863</v>
      </c>
      <c r="M41" t="s">
        <v>215</v>
      </c>
      <c r="N41" t="s">
        <v>215</v>
      </c>
      <c r="O41" t="s">
        <v>179</v>
      </c>
    </row>
    <row r="42" spans="1:15">
      <c r="A42">
        <v>5309</v>
      </c>
      <c r="B42" t="s">
        <v>357</v>
      </c>
      <c r="C42" s="125" t="s">
        <v>309</v>
      </c>
      <c r="D42" t="s">
        <v>358</v>
      </c>
      <c r="E42" t="s">
        <v>655</v>
      </c>
      <c r="F42" t="s">
        <v>150</v>
      </c>
      <c r="G42" t="s">
        <v>150</v>
      </c>
      <c r="L42" t="s">
        <v>863</v>
      </c>
      <c r="M42" t="s">
        <v>1399</v>
      </c>
      <c r="N42" t="s">
        <v>215</v>
      </c>
      <c r="O42" t="s">
        <v>179</v>
      </c>
    </row>
    <row r="43" spans="1:15">
      <c r="A43">
        <v>5385</v>
      </c>
      <c r="B43" t="s">
        <v>361</v>
      </c>
      <c r="C43" s="125" t="s">
        <v>184</v>
      </c>
      <c r="D43" t="s">
        <v>362</v>
      </c>
      <c r="E43" t="s">
        <v>920</v>
      </c>
      <c r="F43" t="s">
        <v>138</v>
      </c>
      <c r="G43" t="s">
        <v>138</v>
      </c>
      <c r="H43" t="s">
        <v>365</v>
      </c>
      <c r="I43" t="s">
        <v>150</v>
      </c>
      <c r="J43" t="s">
        <v>150</v>
      </c>
      <c r="K43" t="s">
        <v>150</v>
      </c>
      <c r="L43" t="s">
        <v>863</v>
      </c>
      <c r="M43" t="s">
        <v>443</v>
      </c>
      <c r="N43" t="s">
        <v>215</v>
      </c>
      <c r="O43" t="s">
        <v>179</v>
      </c>
    </row>
    <row r="44" spans="1:15">
      <c r="A44">
        <v>5390</v>
      </c>
      <c r="B44" t="s">
        <v>368</v>
      </c>
      <c r="C44" s="125" t="s">
        <v>184</v>
      </c>
      <c r="D44" t="s">
        <v>369</v>
      </c>
      <c r="E44" t="s">
        <v>655</v>
      </c>
      <c r="F44" t="s">
        <v>138</v>
      </c>
      <c r="G44" t="s">
        <v>150</v>
      </c>
      <c r="H44" t="s">
        <v>372</v>
      </c>
      <c r="L44" t="s">
        <v>863</v>
      </c>
      <c r="M44" t="s">
        <v>931</v>
      </c>
      <c r="N44" t="s">
        <v>1409</v>
      </c>
      <c r="O44" t="s">
        <v>179</v>
      </c>
    </row>
    <row r="45" spans="1:15">
      <c r="A45">
        <v>5395</v>
      </c>
      <c r="B45" t="s">
        <v>1623</v>
      </c>
      <c r="C45" s="125" t="s">
        <v>184</v>
      </c>
      <c r="D45" t="s">
        <v>1624</v>
      </c>
      <c r="E45" t="s">
        <v>655</v>
      </c>
      <c r="F45" t="s">
        <v>138</v>
      </c>
      <c r="G45" t="s">
        <v>150</v>
      </c>
      <c r="H45" t="s">
        <v>1625</v>
      </c>
      <c r="L45" t="s">
        <v>976</v>
      </c>
      <c r="M45" t="s">
        <v>1626</v>
      </c>
      <c r="N45" t="s">
        <v>1420</v>
      </c>
      <c r="O45" t="s">
        <v>179</v>
      </c>
    </row>
    <row r="46" spans="1:15">
      <c r="A46">
        <v>5405</v>
      </c>
      <c r="B46" t="s">
        <v>1627</v>
      </c>
      <c r="C46" s="125" t="s">
        <v>403</v>
      </c>
      <c r="D46" t="s">
        <v>1628</v>
      </c>
      <c r="E46" t="s">
        <v>655</v>
      </c>
      <c r="F46" t="s">
        <v>150</v>
      </c>
      <c r="G46" t="s">
        <v>150</v>
      </c>
      <c r="H46" t="s">
        <v>1629</v>
      </c>
      <c r="L46" t="s">
        <v>976</v>
      </c>
      <c r="M46" t="s">
        <v>1630</v>
      </c>
      <c r="N46" t="s">
        <v>215</v>
      </c>
      <c r="O46" t="s">
        <v>179</v>
      </c>
    </row>
    <row r="47" spans="1:15">
      <c r="A47">
        <v>5406</v>
      </c>
      <c r="B47" t="s">
        <v>1631</v>
      </c>
      <c r="C47" s="125" t="s">
        <v>403</v>
      </c>
      <c r="D47" t="s">
        <v>1632</v>
      </c>
      <c r="E47" t="s">
        <v>814</v>
      </c>
      <c r="F47" t="s">
        <v>138</v>
      </c>
      <c r="G47" t="s">
        <v>138</v>
      </c>
      <c r="H47" t="s">
        <v>1633</v>
      </c>
      <c r="I47" t="s">
        <v>150</v>
      </c>
      <c r="J47" t="s">
        <v>150</v>
      </c>
      <c r="K47" t="s">
        <v>150</v>
      </c>
      <c r="L47" t="s">
        <v>976</v>
      </c>
      <c r="M47" t="s">
        <v>1634</v>
      </c>
      <c r="N47" t="s">
        <v>215</v>
      </c>
      <c r="O47" t="s">
        <v>179</v>
      </c>
    </row>
    <row r="48" spans="1:15">
      <c r="A48">
        <v>5408</v>
      </c>
      <c r="B48" t="s">
        <v>374</v>
      </c>
      <c r="C48" s="125" t="s">
        <v>309</v>
      </c>
      <c r="D48" t="s">
        <v>375</v>
      </c>
      <c r="E48" t="s">
        <v>814</v>
      </c>
      <c r="F48" t="s">
        <v>138</v>
      </c>
      <c r="G48" t="s">
        <v>150</v>
      </c>
      <c r="H48" t="s">
        <v>372</v>
      </c>
      <c r="L48" t="s">
        <v>863</v>
      </c>
      <c r="M48" t="s">
        <v>937</v>
      </c>
      <c r="N48" t="s">
        <v>337</v>
      </c>
      <c r="O48" t="s">
        <v>179</v>
      </c>
    </row>
    <row r="49" spans="1:15">
      <c r="A49">
        <v>5412</v>
      </c>
      <c r="B49" t="s">
        <v>1635</v>
      </c>
      <c r="C49" s="125" t="s">
        <v>184</v>
      </c>
      <c r="D49" t="s">
        <v>1636</v>
      </c>
      <c r="E49" t="s">
        <v>655</v>
      </c>
      <c r="F49" t="s">
        <v>215</v>
      </c>
      <c r="G49" t="s">
        <v>215</v>
      </c>
      <c r="H49" t="s">
        <v>215</v>
      </c>
      <c r="I49" t="s">
        <v>215</v>
      </c>
      <c r="J49" t="s">
        <v>215</v>
      </c>
      <c r="K49" t="s">
        <v>215</v>
      </c>
      <c r="L49" t="s">
        <v>215</v>
      </c>
      <c r="M49" t="s">
        <v>215</v>
      </c>
      <c r="N49" t="s">
        <v>215</v>
      </c>
      <c r="O49" t="s">
        <v>179</v>
      </c>
    </row>
    <row r="50" spans="1:15">
      <c r="A50">
        <v>5413</v>
      </c>
      <c r="B50" t="s">
        <v>378</v>
      </c>
      <c r="C50" s="125" t="s">
        <v>184</v>
      </c>
      <c r="D50" t="s">
        <v>379</v>
      </c>
      <c r="E50" t="s">
        <v>655</v>
      </c>
      <c r="F50" t="s">
        <v>138</v>
      </c>
      <c r="G50" t="s">
        <v>150</v>
      </c>
      <c r="H50" t="s">
        <v>365</v>
      </c>
      <c r="I50" t="s">
        <v>150</v>
      </c>
      <c r="J50" t="s">
        <v>138</v>
      </c>
      <c r="K50" t="s">
        <v>150</v>
      </c>
      <c r="L50" t="s">
        <v>863</v>
      </c>
      <c r="M50" t="s">
        <v>944</v>
      </c>
      <c r="N50" t="s">
        <v>1420</v>
      </c>
      <c r="O50" t="s">
        <v>179</v>
      </c>
    </row>
    <row r="51" spans="1:15">
      <c r="A51">
        <v>5415</v>
      </c>
      <c r="B51" t="s">
        <v>382</v>
      </c>
      <c r="C51" s="125" t="s">
        <v>184</v>
      </c>
      <c r="D51" t="s">
        <v>383</v>
      </c>
      <c r="E51" t="s">
        <v>949</v>
      </c>
      <c r="F51" t="s">
        <v>138</v>
      </c>
      <c r="G51" t="s">
        <v>138</v>
      </c>
      <c r="H51" t="s">
        <v>386</v>
      </c>
      <c r="I51" t="s">
        <v>150</v>
      </c>
      <c r="J51" t="s">
        <v>150</v>
      </c>
      <c r="K51" t="s">
        <v>150</v>
      </c>
      <c r="L51" t="s">
        <v>863</v>
      </c>
      <c r="M51" t="s">
        <v>957</v>
      </c>
      <c r="N51" t="s">
        <v>1420</v>
      </c>
      <c r="O51" t="s">
        <v>179</v>
      </c>
    </row>
    <row r="52" spans="1:15">
      <c r="A52">
        <v>5418</v>
      </c>
      <c r="B52" t="s">
        <v>1637</v>
      </c>
      <c r="C52" s="125" t="s">
        <v>309</v>
      </c>
      <c r="D52" t="s">
        <v>1638</v>
      </c>
      <c r="E52" t="s">
        <v>655</v>
      </c>
      <c r="F52" t="s">
        <v>138</v>
      </c>
      <c r="G52" t="s">
        <v>150</v>
      </c>
      <c r="H52" t="s">
        <v>399</v>
      </c>
      <c r="L52" t="s">
        <v>976</v>
      </c>
      <c r="M52" t="s">
        <v>1639</v>
      </c>
      <c r="N52" t="s">
        <v>1640</v>
      </c>
      <c r="O52" t="s">
        <v>179</v>
      </c>
    </row>
    <row r="53" spans="1:15">
      <c r="A53">
        <v>5426</v>
      </c>
      <c r="B53" t="s">
        <v>389</v>
      </c>
      <c r="C53" s="125" t="s">
        <v>309</v>
      </c>
      <c r="D53" t="s">
        <v>390</v>
      </c>
      <c r="E53" t="s">
        <v>906</v>
      </c>
      <c r="F53" t="s">
        <v>138</v>
      </c>
      <c r="G53" t="s">
        <v>150</v>
      </c>
      <c r="H53" t="s">
        <v>393</v>
      </c>
      <c r="I53" t="s">
        <v>138</v>
      </c>
      <c r="J53" t="s">
        <v>150</v>
      </c>
      <c r="K53" t="s">
        <v>138</v>
      </c>
      <c r="L53" t="s">
        <v>967</v>
      </c>
      <c r="M53" t="s">
        <v>968</v>
      </c>
      <c r="N53" t="s">
        <v>1431</v>
      </c>
      <c r="O53" t="s">
        <v>179</v>
      </c>
    </row>
    <row r="54" spans="1:15">
      <c r="A54">
        <v>5427</v>
      </c>
      <c r="B54" t="s">
        <v>395</v>
      </c>
      <c r="C54" s="125" t="s">
        <v>309</v>
      </c>
      <c r="D54" t="s">
        <v>396</v>
      </c>
      <c r="E54" t="s">
        <v>655</v>
      </c>
      <c r="F54" t="s">
        <v>138</v>
      </c>
      <c r="G54" t="s">
        <v>150</v>
      </c>
      <c r="H54" t="s">
        <v>399</v>
      </c>
      <c r="K54" t="s">
        <v>398</v>
      </c>
      <c r="L54" t="s">
        <v>976</v>
      </c>
      <c r="M54" t="s">
        <v>977</v>
      </c>
      <c r="N54" t="s">
        <v>1440</v>
      </c>
      <c r="O54" t="s">
        <v>179</v>
      </c>
    </row>
    <row r="55" spans="1:15">
      <c r="A55">
        <v>5432</v>
      </c>
      <c r="B55" t="s">
        <v>1641</v>
      </c>
      <c r="C55" s="125" t="s">
        <v>309</v>
      </c>
      <c r="D55" t="s">
        <v>1642</v>
      </c>
      <c r="E55" t="s">
        <v>655</v>
      </c>
      <c r="F55" t="s">
        <v>138</v>
      </c>
      <c r="G55" t="s">
        <v>215</v>
      </c>
      <c r="H55" t="s">
        <v>1643</v>
      </c>
      <c r="L55" t="s">
        <v>863</v>
      </c>
      <c r="M55" t="s">
        <v>1643</v>
      </c>
      <c r="N55" t="s">
        <v>1644</v>
      </c>
      <c r="O55" t="s">
        <v>179</v>
      </c>
    </row>
    <row r="56" spans="1:15">
      <c r="A56">
        <v>5442</v>
      </c>
      <c r="B56" t="s">
        <v>401</v>
      </c>
      <c r="C56" s="125" t="s">
        <v>403</v>
      </c>
      <c r="D56" t="s">
        <v>402</v>
      </c>
      <c r="E56" t="s">
        <v>949</v>
      </c>
      <c r="F56" t="s">
        <v>138</v>
      </c>
      <c r="G56" t="s">
        <v>138</v>
      </c>
      <c r="H56" t="s">
        <v>406</v>
      </c>
      <c r="I56" t="s">
        <v>138</v>
      </c>
      <c r="J56" t="s">
        <v>138</v>
      </c>
      <c r="K56" t="s">
        <v>138</v>
      </c>
      <c r="L56" t="s">
        <v>995</v>
      </c>
      <c r="M56" t="s">
        <v>1449</v>
      </c>
      <c r="N56" t="s">
        <v>342</v>
      </c>
      <c r="O56" t="s">
        <v>179</v>
      </c>
    </row>
    <row r="57" spans="1:15">
      <c r="A57">
        <v>5444</v>
      </c>
      <c r="B57" t="s">
        <v>408</v>
      </c>
      <c r="C57" s="125" t="s">
        <v>403</v>
      </c>
      <c r="D57" t="s">
        <v>409</v>
      </c>
      <c r="E57" t="s">
        <v>949</v>
      </c>
      <c r="F57" t="s">
        <v>138</v>
      </c>
      <c r="G57" t="s">
        <v>150</v>
      </c>
      <c r="H57" t="s">
        <v>411</v>
      </c>
      <c r="I57" t="s">
        <v>138</v>
      </c>
      <c r="J57" t="s">
        <v>1003</v>
      </c>
      <c r="K57" t="s">
        <v>138</v>
      </c>
      <c r="L57" t="s">
        <v>1010</v>
      </c>
      <c r="M57" t="s">
        <v>1011</v>
      </c>
      <c r="N57" t="s">
        <v>342</v>
      </c>
      <c r="O57" t="s">
        <v>179</v>
      </c>
    </row>
    <row r="58" spans="1:15">
      <c r="A58">
        <v>5454</v>
      </c>
      <c r="B58" t="s">
        <v>413</v>
      </c>
      <c r="C58" s="125" t="s">
        <v>184</v>
      </c>
      <c r="D58" t="s">
        <v>414</v>
      </c>
      <c r="E58" t="s">
        <v>1015</v>
      </c>
      <c r="F58" t="s">
        <v>138</v>
      </c>
      <c r="G58" t="s">
        <v>138</v>
      </c>
      <c r="H58" t="s">
        <v>416</v>
      </c>
      <c r="I58" t="s">
        <v>150</v>
      </c>
      <c r="J58" t="s">
        <v>138</v>
      </c>
      <c r="K58" t="s">
        <v>150</v>
      </c>
      <c r="L58" t="s">
        <v>863</v>
      </c>
      <c r="M58" t="s">
        <v>416</v>
      </c>
      <c r="N58" t="s">
        <v>353</v>
      </c>
      <c r="O58" t="s">
        <v>179</v>
      </c>
    </row>
    <row r="59" spans="1:15">
      <c r="A59">
        <v>5458</v>
      </c>
      <c r="B59" t="s">
        <v>1645</v>
      </c>
      <c r="C59" s="125" t="s">
        <v>309</v>
      </c>
      <c r="D59" t="s">
        <v>1646</v>
      </c>
      <c r="E59" t="s">
        <v>655</v>
      </c>
      <c r="F59" t="s">
        <v>138</v>
      </c>
      <c r="G59" t="s">
        <v>150</v>
      </c>
      <c r="H59" t="s">
        <v>879</v>
      </c>
      <c r="I59" t="s">
        <v>150</v>
      </c>
      <c r="J59" t="s">
        <v>138</v>
      </c>
      <c r="K59" t="s">
        <v>138</v>
      </c>
      <c r="L59" t="s">
        <v>872</v>
      </c>
      <c r="M59" t="s">
        <v>879</v>
      </c>
      <c r="N59" t="s">
        <v>342</v>
      </c>
      <c r="O59" t="s">
        <v>179</v>
      </c>
    </row>
    <row r="60" spans="1:15">
      <c r="A60">
        <v>5463</v>
      </c>
      <c r="B60" t="s">
        <v>419</v>
      </c>
      <c r="C60" s="125" t="s">
        <v>184</v>
      </c>
      <c r="D60" t="s">
        <v>420</v>
      </c>
      <c r="E60" t="s">
        <v>655</v>
      </c>
      <c r="F60" t="s">
        <v>138</v>
      </c>
      <c r="G60" t="s">
        <v>138</v>
      </c>
      <c r="H60" t="s">
        <v>423</v>
      </c>
      <c r="I60" t="s">
        <v>150</v>
      </c>
      <c r="J60" t="s">
        <v>138</v>
      </c>
      <c r="K60" t="s">
        <v>150</v>
      </c>
      <c r="L60" t="s">
        <v>863</v>
      </c>
      <c r="M60" t="s">
        <v>1647</v>
      </c>
      <c r="N60" t="s">
        <v>215</v>
      </c>
      <c r="O60" t="s">
        <v>179</v>
      </c>
    </row>
    <row r="61" spans="1:15">
      <c r="A61">
        <v>5464</v>
      </c>
      <c r="B61" t="s">
        <v>425</v>
      </c>
      <c r="C61" s="125" t="s">
        <v>309</v>
      </c>
      <c r="D61" t="s">
        <v>426</v>
      </c>
      <c r="E61" t="s">
        <v>920</v>
      </c>
      <c r="F61" t="s">
        <v>150</v>
      </c>
      <c r="G61" t="s">
        <v>150</v>
      </c>
      <c r="H61" t="s">
        <v>429</v>
      </c>
      <c r="I61" t="s">
        <v>138</v>
      </c>
      <c r="J61" t="s">
        <v>150</v>
      </c>
      <c r="K61" t="s">
        <v>150</v>
      </c>
      <c r="L61" t="s">
        <v>967</v>
      </c>
      <c r="M61" t="s">
        <v>1039</v>
      </c>
      <c r="N61" t="s">
        <v>363</v>
      </c>
      <c r="O61" t="s">
        <v>179</v>
      </c>
    </row>
    <row r="62" spans="1:15">
      <c r="A62">
        <v>5465</v>
      </c>
      <c r="B62" t="s">
        <v>431</v>
      </c>
      <c r="C62" s="125" t="s">
        <v>403</v>
      </c>
      <c r="D62" t="s">
        <v>432</v>
      </c>
      <c r="E62" t="s">
        <v>1042</v>
      </c>
      <c r="F62" t="s">
        <v>138</v>
      </c>
      <c r="G62" t="s">
        <v>150</v>
      </c>
      <c r="H62" t="s">
        <v>434</v>
      </c>
      <c r="I62" t="s">
        <v>138</v>
      </c>
      <c r="J62" t="s">
        <v>1043</v>
      </c>
      <c r="K62" t="s">
        <v>150</v>
      </c>
      <c r="L62" t="s">
        <v>1648</v>
      </c>
      <c r="M62" t="s">
        <v>1049</v>
      </c>
      <c r="N62" t="s">
        <v>370</v>
      </c>
      <c r="O62" t="s">
        <v>179</v>
      </c>
    </row>
    <row r="63" spans="1:15">
      <c r="A63">
        <v>5478</v>
      </c>
      <c r="B63" t="s">
        <v>436</v>
      </c>
      <c r="C63" s="125" t="s">
        <v>184</v>
      </c>
      <c r="D63" t="s">
        <v>437</v>
      </c>
      <c r="E63" t="s">
        <v>655</v>
      </c>
      <c r="F63" t="s">
        <v>138</v>
      </c>
      <c r="G63" t="s">
        <v>138</v>
      </c>
      <c r="H63" t="s">
        <v>386</v>
      </c>
      <c r="I63" t="s">
        <v>138</v>
      </c>
      <c r="J63" t="s">
        <v>138</v>
      </c>
      <c r="K63" t="s">
        <v>138</v>
      </c>
      <c r="L63" t="s">
        <v>863</v>
      </c>
      <c r="M63" t="s">
        <v>1649</v>
      </c>
      <c r="N63" t="s">
        <v>342</v>
      </c>
      <c r="O63" t="s">
        <v>179</v>
      </c>
    </row>
    <row r="64" spans="1:15">
      <c r="A64">
        <v>5479</v>
      </c>
      <c r="B64" t="s">
        <v>443</v>
      </c>
      <c r="C64" s="125" t="s">
        <v>184</v>
      </c>
      <c r="D64" t="s">
        <v>444</v>
      </c>
      <c r="E64" t="s">
        <v>655</v>
      </c>
      <c r="F64" t="s">
        <v>138</v>
      </c>
      <c r="G64" t="s">
        <v>138</v>
      </c>
      <c r="H64" t="s">
        <v>215</v>
      </c>
      <c r="I64" t="s">
        <v>138</v>
      </c>
      <c r="J64" t="s">
        <v>138</v>
      </c>
      <c r="K64" t="s">
        <v>138</v>
      </c>
      <c r="L64" t="s">
        <v>863</v>
      </c>
      <c r="M64" t="s">
        <v>1068</v>
      </c>
      <c r="N64" t="s">
        <v>342</v>
      </c>
      <c r="O64" t="s">
        <v>179</v>
      </c>
    </row>
    <row r="65" spans="1:15">
      <c r="A65">
        <v>5567</v>
      </c>
      <c r="B65" t="s">
        <v>448</v>
      </c>
      <c r="C65" s="125" t="s">
        <v>184</v>
      </c>
      <c r="D65" t="s">
        <v>449</v>
      </c>
      <c r="E65" t="s">
        <v>1042</v>
      </c>
      <c r="F65" t="s">
        <v>138</v>
      </c>
      <c r="G65" t="s">
        <v>138</v>
      </c>
      <c r="H65" t="s">
        <v>451</v>
      </c>
      <c r="I65" t="s">
        <v>138</v>
      </c>
      <c r="J65" t="s">
        <v>138</v>
      </c>
      <c r="K65" t="s">
        <v>150</v>
      </c>
      <c r="L65" t="s">
        <v>863</v>
      </c>
      <c r="M65" t="s">
        <v>372</v>
      </c>
      <c r="N65" t="s">
        <v>342</v>
      </c>
      <c r="O65" t="s">
        <v>179</v>
      </c>
    </row>
    <row r="66" spans="1:15">
      <c r="A66">
        <v>5570</v>
      </c>
      <c r="B66" t="s">
        <v>453</v>
      </c>
      <c r="C66" s="125" t="s">
        <v>184</v>
      </c>
      <c r="D66" t="s">
        <v>454</v>
      </c>
      <c r="E66" t="s">
        <v>655</v>
      </c>
      <c r="F66" t="s">
        <v>138</v>
      </c>
      <c r="G66" t="s">
        <v>150</v>
      </c>
      <c r="H66" t="s">
        <v>453</v>
      </c>
      <c r="I66" t="s">
        <v>138</v>
      </c>
      <c r="J66" t="s">
        <v>150</v>
      </c>
      <c r="K66" t="s">
        <v>138</v>
      </c>
      <c r="L66" t="s">
        <v>863</v>
      </c>
      <c r="M66" t="s">
        <v>1080</v>
      </c>
      <c r="N66" t="s">
        <v>342</v>
      </c>
      <c r="O66" t="s">
        <v>179</v>
      </c>
    </row>
    <row r="67" spans="1:15">
      <c r="A67">
        <v>5666</v>
      </c>
      <c r="B67" t="s">
        <v>458</v>
      </c>
      <c r="C67" s="125" t="s">
        <v>184</v>
      </c>
      <c r="D67" t="s">
        <v>459</v>
      </c>
      <c r="E67" t="s">
        <v>814</v>
      </c>
      <c r="F67" t="s">
        <v>138</v>
      </c>
      <c r="G67" t="s">
        <v>150</v>
      </c>
      <c r="H67" t="s">
        <v>462</v>
      </c>
      <c r="I67" t="s">
        <v>138</v>
      </c>
      <c r="J67" t="s">
        <v>150</v>
      </c>
      <c r="K67" t="s">
        <v>138</v>
      </c>
      <c r="L67" t="s">
        <v>863</v>
      </c>
      <c r="M67" t="s">
        <v>1650</v>
      </c>
      <c r="N67" t="s">
        <v>342</v>
      </c>
      <c r="O67" t="s">
        <v>179</v>
      </c>
    </row>
    <row r="68" spans="1:15">
      <c r="A68">
        <v>5668</v>
      </c>
      <c r="B68" t="s">
        <v>464</v>
      </c>
      <c r="C68" s="125" t="s">
        <v>184</v>
      </c>
      <c r="D68" t="s">
        <v>465</v>
      </c>
      <c r="E68" t="s">
        <v>920</v>
      </c>
      <c r="F68" t="s">
        <v>150</v>
      </c>
      <c r="G68" t="s">
        <v>150</v>
      </c>
      <c r="I68" t="s">
        <v>138</v>
      </c>
      <c r="J68" t="s">
        <v>150</v>
      </c>
      <c r="K68" t="s">
        <v>150</v>
      </c>
      <c r="L68" t="s">
        <v>863</v>
      </c>
      <c r="M68" t="s">
        <v>1651</v>
      </c>
      <c r="N68" t="s">
        <v>342</v>
      </c>
      <c r="O68" t="s">
        <v>179</v>
      </c>
    </row>
    <row r="69" spans="1:15">
      <c r="A69">
        <v>5670</v>
      </c>
      <c r="B69" t="s">
        <v>468</v>
      </c>
      <c r="C69" s="125" t="s">
        <v>184</v>
      </c>
      <c r="D69" t="s">
        <v>469</v>
      </c>
      <c r="E69" t="s">
        <v>814</v>
      </c>
      <c r="F69" t="s">
        <v>138</v>
      </c>
      <c r="G69" t="s">
        <v>138</v>
      </c>
      <c r="H69" t="s">
        <v>468</v>
      </c>
      <c r="I69" t="s">
        <v>138</v>
      </c>
      <c r="J69" t="s">
        <v>138</v>
      </c>
      <c r="K69" t="s">
        <v>150</v>
      </c>
      <c r="L69" t="s">
        <v>863</v>
      </c>
      <c r="M69" t="s">
        <v>1098</v>
      </c>
      <c r="N69" t="s">
        <v>342</v>
      </c>
      <c r="O69" t="s">
        <v>179</v>
      </c>
    </row>
    <row r="70" spans="1:15">
      <c r="A70">
        <v>5712</v>
      </c>
      <c r="B70" t="s">
        <v>472</v>
      </c>
      <c r="C70" s="125" t="s">
        <v>184</v>
      </c>
      <c r="D70" t="s">
        <v>473</v>
      </c>
      <c r="E70" t="s">
        <v>949</v>
      </c>
      <c r="F70" t="s">
        <v>138</v>
      </c>
      <c r="G70" t="s">
        <v>150</v>
      </c>
      <c r="H70" t="s">
        <v>472</v>
      </c>
      <c r="L70" t="s">
        <v>1486</v>
      </c>
      <c r="M70" t="s">
        <v>1487</v>
      </c>
      <c r="N70" t="s">
        <v>1491</v>
      </c>
      <c r="O70" t="s">
        <v>179</v>
      </c>
    </row>
    <row r="71" spans="1:15">
      <c r="A71">
        <v>5713</v>
      </c>
      <c r="B71" t="s">
        <v>477</v>
      </c>
      <c r="C71" s="125" t="s">
        <v>184</v>
      </c>
      <c r="D71" t="s">
        <v>478</v>
      </c>
      <c r="E71" t="s">
        <v>1042</v>
      </c>
      <c r="F71" t="s">
        <v>150</v>
      </c>
      <c r="H71" t="s">
        <v>479</v>
      </c>
      <c r="I71" t="s">
        <v>138</v>
      </c>
      <c r="J71" t="s">
        <v>150</v>
      </c>
      <c r="K71" t="s">
        <v>150</v>
      </c>
      <c r="L71" t="s">
        <v>863</v>
      </c>
      <c r="M71" t="s">
        <v>1103</v>
      </c>
      <c r="N71" t="s">
        <v>391</v>
      </c>
      <c r="O71" t="s">
        <v>179</v>
      </c>
    </row>
    <row r="72" spans="1:15">
      <c r="A72">
        <v>5717</v>
      </c>
      <c r="B72" t="s">
        <v>481</v>
      </c>
      <c r="C72" s="125" t="s">
        <v>184</v>
      </c>
      <c r="D72" t="s">
        <v>481</v>
      </c>
      <c r="E72" t="s">
        <v>814</v>
      </c>
      <c r="F72" t="s">
        <v>138</v>
      </c>
      <c r="G72" t="s">
        <v>150</v>
      </c>
      <c r="H72" t="s">
        <v>443</v>
      </c>
      <c r="I72" t="s">
        <v>138</v>
      </c>
      <c r="J72" t="s">
        <v>150</v>
      </c>
      <c r="K72" t="s">
        <v>138</v>
      </c>
      <c r="L72" t="s">
        <v>863</v>
      </c>
      <c r="M72" t="s">
        <v>1652</v>
      </c>
      <c r="N72" t="s">
        <v>342</v>
      </c>
      <c r="O72" t="s">
        <v>179</v>
      </c>
    </row>
    <row r="73" spans="1:15">
      <c r="A73">
        <v>5720</v>
      </c>
      <c r="B73" t="s">
        <v>484</v>
      </c>
      <c r="C73" s="125" t="s">
        <v>184</v>
      </c>
      <c r="D73" t="s">
        <v>485</v>
      </c>
      <c r="E73" t="s">
        <v>814</v>
      </c>
      <c r="F73" t="s">
        <v>138</v>
      </c>
      <c r="G73" t="s">
        <v>150</v>
      </c>
      <c r="H73" t="s">
        <v>487</v>
      </c>
      <c r="I73" t="s">
        <v>138</v>
      </c>
      <c r="J73" t="s">
        <v>138</v>
      </c>
      <c r="K73" t="s">
        <v>150</v>
      </c>
      <c r="L73" t="s">
        <v>863</v>
      </c>
      <c r="M73" t="s">
        <v>215</v>
      </c>
      <c r="N73" t="s">
        <v>342</v>
      </c>
      <c r="O73" t="s">
        <v>179</v>
      </c>
    </row>
    <row r="74" spans="1:15">
      <c r="A74">
        <v>6010</v>
      </c>
      <c r="B74" t="s">
        <v>489</v>
      </c>
      <c r="C74" s="125" t="s">
        <v>309</v>
      </c>
      <c r="D74" t="s">
        <v>490</v>
      </c>
      <c r="E74" t="s">
        <v>655</v>
      </c>
      <c r="F74" t="s">
        <v>138</v>
      </c>
      <c r="G74" t="s">
        <v>150</v>
      </c>
      <c r="H74" t="s">
        <v>492</v>
      </c>
      <c r="I74" t="s">
        <v>138</v>
      </c>
      <c r="J74" t="s">
        <v>138</v>
      </c>
      <c r="K74" t="s">
        <v>138</v>
      </c>
      <c r="L74" t="s">
        <v>863</v>
      </c>
      <c r="M74" t="s">
        <v>1501</v>
      </c>
      <c r="N74" t="s">
        <v>404</v>
      </c>
      <c r="O74" t="s">
        <v>179</v>
      </c>
    </row>
    <row r="75" spans="1:15">
      <c r="A75">
        <v>6096</v>
      </c>
      <c r="B75" t="s">
        <v>494</v>
      </c>
      <c r="C75" s="125" t="s">
        <v>184</v>
      </c>
      <c r="D75" t="s">
        <v>495</v>
      </c>
      <c r="E75" t="s">
        <v>814</v>
      </c>
      <c r="F75" t="s">
        <v>138</v>
      </c>
      <c r="G75" t="s">
        <v>150</v>
      </c>
      <c r="H75" t="s">
        <v>443</v>
      </c>
      <c r="I75" t="s">
        <v>150</v>
      </c>
      <c r="J75" t="s">
        <v>150</v>
      </c>
      <c r="K75" t="s">
        <v>138</v>
      </c>
      <c r="L75" t="s">
        <v>863</v>
      </c>
      <c r="M75" t="s">
        <v>1125</v>
      </c>
      <c r="N75" t="s">
        <v>342</v>
      </c>
      <c r="O75" t="s">
        <v>179</v>
      </c>
    </row>
    <row r="76" spans="1:15">
      <c r="A76">
        <v>6105</v>
      </c>
      <c r="B76" t="s">
        <v>1653</v>
      </c>
      <c r="C76" s="125" t="s">
        <v>1654</v>
      </c>
      <c r="D76" t="s">
        <v>1655</v>
      </c>
      <c r="E76" t="s">
        <v>655</v>
      </c>
      <c r="F76" t="s">
        <v>138</v>
      </c>
      <c r="G76" t="s">
        <v>138</v>
      </c>
      <c r="H76" t="s">
        <v>443</v>
      </c>
      <c r="I76" t="s">
        <v>138</v>
      </c>
      <c r="J76" t="s">
        <v>138</v>
      </c>
      <c r="K76" t="s">
        <v>138</v>
      </c>
      <c r="L76" t="s">
        <v>863</v>
      </c>
      <c r="M76" t="s">
        <v>1656</v>
      </c>
      <c r="N76" t="s">
        <v>342</v>
      </c>
      <c r="O76" t="s">
        <v>179</v>
      </c>
    </row>
    <row r="77" spans="1:15">
      <c r="A77">
        <v>6393</v>
      </c>
      <c r="B77" t="s">
        <v>498</v>
      </c>
      <c r="C77" s="125" t="s">
        <v>309</v>
      </c>
      <c r="D77" t="s">
        <v>499</v>
      </c>
      <c r="E77" t="s">
        <v>814</v>
      </c>
      <c r="F77" t="s">
        <v>150</v>
      </c>
      <c r="G77" t="s">
        <v>150</v>
      </c>
      <c r="H77" t="s">
        <v>501</v>
      </c>
      <c r="L77" t="s">
        <v>863</v>
      </c>
      <c r="M77" t="s">
        <v>1650</v>
      </c>
      <c r="N77" t="s">
        <v>342</v>
      </c>
      <c r="O77" t="s">
        <v>179</v>
      </c>
    </row>
    <row r="78" spans="1:15">
      <c r="A78">
        <v>6394</v>
      </c>
      <c r="B78" t="s">
        <v>1657</v>
      </c>
      <c r="C78" s="125" t="s">
        <v>309</v>
      </c>
      <c r="D78" t="s">
        <v>1658</v>
      </c>
      <c r="E78" t="s">
        <v>906</v>
      </c>
      <c r="F78" t="s">
        <v>150</v>
      </c>
      <c r="H78" t="s">
        <v>372</v>
      </c>
      <c r="I78" t="s">
        <v>150</v>
      </c>
      <c r="J78" t="s">
        <v>150</v>
      </c>
      <c r="K78" t="s">
        <v>138</v>
      </c>
      <c r="L78" t="s">
        <v>872</v>
      </c>
      <c r="M78" t="s">
        <v>879</v>
      </c>
      <c r="N78" t="s">
        <v>1659</v>
      </c>
      <c r="O78" t="s">
        <v>179</v>
      </c>
    </row>
    <row r="79" spans="1:15">
      <c r="A79">
        <v>6395</v>
      </c>
      <c r="B79" t="s">
        <v>1660</v>
      </c>
      <c r="C79" s="125" t="s">
        <v>309</v>
      </c>
      <c r="D79" t="s">
        <v>1661</v>
      </c>
      <c r="E79" t="s">
        <v>655</v>
      </c>
      <c r="F79" t="s">
        <v>138</v>
      </c>
      <c r="G79" t="s">
        <v>150</v>
      </c>
      <c r="H79" t="s">
        <v>1662</v>
      </c>
      <c r="I79" t="s">
        <v>150</v>
      </c>
      <c r="J79" t="s">
        <v>150</v>
      </c>
      <c r="K79" t="s">
        <v>138</v>
      </c>
      <c r="L79" t="s">
        <v>1663</v>
      </c>
      <c r="M79" t="s">
        <v>1663</v>
      </c>
      <c r="N79" t="s">
        <v>143</v>
      </c>
      <c r="O79" t="s">
        <v>179</v>
      </c>
    </row>
    <row r="80" spans="1:15">
      <c r="A80">
        <v>6397</v>
      </c>
      <c r="B80" t="s">
        <v>503</v>
      </c>
      <c r="C80" s="125" t="s">
        <v>184</v>
      </c>
      <c r="D80" t="s">
        <v>504</v>
      </c>
      <c r="E80" t="s">
        <v>1134</v>
      </c>
      <c r="F80" t="s">
        <v>138</v>
      </c>
      <c r="G80" t="s">
        <v>150</v>
      </c>
      <c r="H80" t="s">
        <v>503</v>
      </c>
      <c r="I80" t="s">
        <v>138</v>
      </c>
      <c r="J80" t="s">
        <v>150</v>
      </c>
      <c r="K80" t="s">
        <v>138</v>
      </c>
      <c r="L80" t="s">
        <v>863</v>
      </c>
      <c r="M80" t="s">
        <v>1664</v>
      </c>
      <c r="N80" t="s">
        <v>342</v>
      </c>
      <c r="O80" t="s">
        <v>179</v>
      </c>
    </row>
    <row r="81" spans="1:15">
      <c r="A81">
        <v>6401</v>
      </c>
      <c r="B81" t="s">
        <v>1665</v>
      </c>
      <c r="C81" s="125" t="s">
        <v>184</v>
      </c>
      <c r="D81" t="s">
        <v>1666</v>
      </c>
      <c r="E81" t="s">
        <v>906</v>
      </c>
      <c r="F81" t="s">
        <v>150</v>
      </c>
      <c r="G81" t="s">
        <v>150</v>
      </c>
      <c r="H81" t="s">
        <v>1630</v>
      </c>
      <c r="I81" t="s">
        <v>150</v>
      </c>
      <c r="J81" t="s">
        <v>150</v>
      </c>
      <c r="K81" t="s">
        <v>138</v>
      </c>
      <c r="L81" t="s">
        <v>976</v>
      </c>
      <c r="M81" t="s">
        <v>1667</v>
      </c>
      <c r="N81" t="s">
        <v>391</v>
      </c>
      <c r="O81" t="s">
        <v>179</v>
      </c>
    </row>
    <row r="82" spans="1:15">
      <c r="A82">
        <v>6405</v>
      </c>
      <c r="B82" t="s">
        <v>507</v>
      </c>
      <c r="C82" s="125" t="s">
        <v>184</v>
      </c>
      <c r="D82" t="s">
        <v>508</v>
      </c>
      <c r="E82" t="s">
        <v>1134</v>
      </c>
      <c r="F82" t="s">
        <v>150</v>
      </c>
      <c r="G82" t="s">
        <v>150</v>
      </c>
      <c r="H82" t="s">
        <v>472</v>
      </c>
      <c r="I82" t="s">
        <v>150</v>
      </c>
      <c r="J82" t="s">
        <v>150</v>
      </c>
      <c r="K82" t="s">
        <v>138</v>
      </c>
      <c r="L82" t="s">
        <v>1511</v>
      </c>
      <c r="M82" t="s">
        <v>1664</v>
      </c>
      <c r="N82" t="s">
        <v>421</v>
      </c>
      <c r="O82" t="s">
        <v>179</v>
      </c>
    </row>
    <row r="83" spans="1:15">
      <c r="A83">
        <v>6408</v>
      </c>
      <c r="B83" t="s">
        <v>510</v>
      </c>
      <c r="C83" s="125" t="s">
        <v>309</v>
      </c>
      <c r="D83" t="s">
        <v>511</v>
      </c>
      <c r="E83" t="s">
        <v>1134</v>
      </c>
      <c r="F83" t="s">
        <v>150</v>
      </c>
      <c r="I83" t="s">
        <v>150</v>
      </c>
      <c r="J83" t="s">
        <v>150</v>
      </c>
      <c r="K83" t="s">
        <v>138</v>
      </c>
      <c r="L83" t="s">
        <v>863</v>
      </c>
      <c r="M83" t="s">
        <v>1668</v>
      </c>
      <c r="N83" t="s">
        <v>427</v>
      </c>
      <c r="O83" t="s">
        <v>179</v>
      </c>
    </row>
    <row r="84" spans="1:15">
      <c r="A84">
        <v>6422</v>
      </c>
      <c r="B84" t="s">
        <v>514</v>
      </c>
      <c r="C84" s="125" t="s">
        <v>184</v>
      </c>
      <c r="D84" t="s">
        <v>515</v>
      </c>
      <c r="E84" t="s">
        <v>814</v>
      </c>
      <c r="F84" t="s">
        <v>138</v>
      </c>
      <c r="G84" t="s">
        <v>150</v>
      </c>
      <c r="H84" t="s">
        <v>443</v>
      </c>
      <c r="I84" t="s">
        <v>138</v>
      </c>
      <c r="J84" t="s">
        <v>150</v>
      </c>
      <c r="K84" t="s">
        <v>150</v>
      </c>
      <c r="L84" t="s">
        <v>863</v>
      </c>
      <c r="M84" t="s">
        <v>1145</v>
      </c>
      <c r="N84" t="s">
        <v>179</v>
      </c>
    </row>
    <row r="85" spans="1:15">
      <c r="A85">
        <v>6424</v>
      </c>
      <c r="B85" t="s">
        <v>518</v>
      </c>
      <c r="C85" s="125" t="s">
        <v>184</v>
      </c>
      <c r="D85" t="s">
        <v>519</v>
      </c>
      <c r="E85" t="s">
        <v>814</v>
      </c>
      <c r="F85" t="s">
        <v>150</v>
      </c>
      <c r="G85" t="s">
        <v>150</v>
      </c>
      <c r="H85" t="s">
        <v>521</v>
      </c>
      <c r="I85" t="s">
        <v>150</v>
      </c>
      <c r="J85" t="s">
        <v>150</v>
      </c>
      <c r="K85" t="s">
        <v>138</v>
      </c>
      <c r="L85" t="s">
        <v>863</v>
      </c>
      <c r="M85" t="s">
        <v>1669</v>
      </c>
      <c r="N85" t="s">
        <v>440</v>
      </c>
      <c r="O85" t="s">
        <v>179</v>
      </c>
    </row>
    <row r="86" spans="1:15">
      <c r="A86">
        <v>6447</v>
      </c>
      <c r="B86" t="s">
        <v>1670</v>
      </c>
      <c r="C86" s="125" t="s">
        <v>309</v>
      </c>
      <c r="D86" t="s">
        <v>1671</v>
      </c>
      <c r="E86" t="s">
        <v>906</v>
      </c>
      <c r="F86" t="s">
        <v>150</v>
      </c>
      <c r="I86" t="s">
        <v>150</v>
      </c>
      <c r="J86" t="s">
        <v>138</v>
      </c>
      <c r="K86" t="s">
        <v>150</v>
      </c>
      <c r="L86" t="s">
        <v>872</v>
      </c>
      <c r="M86" t="s">
        <v>879</v>
      </c>
      <c r="N86" t="s">
        <v>1672</v>
      </c>
      <c r="O86" t="s">
        <v>179</v>
      </c>
    </row>
    <row r="87" spans="1:15">
      <c r="A87">
        <v>6452</v>
      </c>
      <c r="B87" t="s">
        <v>523</v>
      </c>
      <c r="C87" s="125" t="s">
        <v>309</v>
      </c>
      <c r="D87" t="s">
        <v>524</v>
      </c>
      <c r="E87" t="s">
        <v>1134</v>
      </c>
      <c r="F87" t="s">
        <v>150</v>
      </c>
      <c r="I87" t="s">
        <v>150</v>
      </c>
      <c r="J87" t="s">
        <v>150</v>
      </c>
      <c r="K87" t="s">
        <v>138</v>
      </c>
      <c r="L87" t="s">
        <v>830</v>
      </c>
      <c r="M87" t="s">
        <v>1155</v>
      </c>
      <c r="N87" t="s">
        <v>445</v>
      </c>
      <c r="O87" t="s">
        <v>179</v>
      </c>
    </row>
    <row r="88" spans="1:15">
      <c r="A88">
        <v>6453</v>
      </c>
      <c r="B88" t="s">
        <v>527</v>
      </c>
      <c r="C88" s="125" t="s">
        <v>309</v>
      </c>
      <c r="D88" t="s">
        <v>528</v>
      </c>
      <c r="E88" t="s">
        <v>1134</v>
      </c>
      <c r="F88" t="s">
        <v>150</v>
      </c>
      <c r="L88" t="s">
        <v>830</v>
      </c>
      <c r="M88" t="s">
        <v>1159</v>
      </c>
      <c r="N88" t="s">
        <v>445</v>
      </c>
      <c r="O88" t="s">
        <v>179</v>
      </c>
    </row>
    <row r="89" spans="1:15">
      <c r="A89">
        <v>6500</v>
      </c>
      <c r="B89" t="s">
        <v>531</v>
      </c>
      <c r="C89" s="125" t="s">
        <v>184</v>
      </c>
      <c r="D89" t="s">
        <v>532</v>
      </c>
      <c r="E89" t="s">
        <v>814</v>
      </c>
      <c r="F89" t="s">
        <v>138</v>
      </c>
      <c r="G89" t="s">
        <v>150</v>
      </c>
      <c r="H89" t="s">
        <v>372</v>
      </c>
      <c r="I89" t="s">
        <v>138</v>
      </c>
      <c r="J89" t="s">
        <v>138</v>
      </c>
      <c r="K89" t="s">
        <v>138</v>
      </c>
      <c r="L89" t="s">
        <v>863</v>
      </c>
      <c r="M89" t="s">
        <v>443</v>
      </c>
      <c r="N89" t="s">
        <v>455</v>
      </c>
      <c r="O89" t="s">
        <v>179</v>
      </c>
    </row>
    <row r="90" spans="1:15">
      <c r="A90">
        <v>6512</v>
      </c>
      <c r="B90" t="s">
        <v>535</v>
      </c>
      <c r="C90" s="125" t="s">
        <v>184</v>
      </c>
      <c r="D90" t="s">
        <v>536</v>
      </c>
      <c r="E90" t="s">
        <v>814</v>
      </c>
      <c r="F90" t="s">
        <v>138</v>
      </c>
      <c r="G90" t="s">
        <v>150</v>
      </c>
      <c r="H90" t="s">
        <v>372</v>
      </c>
      <c r="I90" t="s">
        <v>138</v>
      </c>
      <c r="J90" t="s">
        <v>138</v>
      </c>
      <c r="K90" t="s">
        <v>150</v>
      </c>
      <c r="L90" t="s">
        <v>863</v>
      </c>
      <c r="M90" t="s">
        <v>443</v>
      </c>
      <c r="N90" t="s">
        <v>460</v>
      </c>
      <c r="O90" t="s">
        <v>179</v>
      </c>
    </row>
    <row r="91" spans="1:15">
      <c r="A91">
        <v>6591</v>
      </c>
      <c r="B91" t="s">
        <v>1673</v>
      </c>
      <c r="C91" s="125" t="s">
        <v>309</v>
      </c>
      <c r="D91" t="s">
        <v>1674</v>
      </c>
      <c r="E91" t="s">
        <v>655</v>
      </c>
      <c r="F91" t="s">
        <v>150</v>
      </c>
      <c r="G91" t="s">
        <v>150</v>
      </c>
      <c r="H91" t="s">
        <v>1673</v>
      </c>
      <c r="I91" t="s">
        <v>138</v>
      </c>
      <c r="J91" t="s">
        <v>138</v>
      </c>
      <c r="K91" t="s">
        <v>138</v>
      </c>
      <c r="L91" t="s">
        <v>863</v>
      </c>
      <c r="M91" t="s">
        <v>1675</v>
      </c>
      <c r="N91" t="s">
        <v>1676</v>
      </c>
      <c r="O91" t="s">
        <v>179</v>
      </c>
    </row>
    <row r="92" spans="1:15">
      <c r="A92">
        <v>6650</v>
      </c>
      <c r="B92" t="s">
        <v>1677</v>
      </c>
      <c r="C92" s="125" t="s">
        <v>184</v>
      </c>
      <c r="D92" t="s">
        <v>1678</v>
      </c>
      <c r="E92" t="s">
        <v>655</v>
      </c>
      <c r="F92" t="s">
        <v>138</v>
      </c>
      <c r="G92" t="s">
        <v>150</v>
      </c>
      <c r="H92" t="s">
        <v>372</v>
      </c>
      <c r="I92" t="s">
        <v>138</v>
      </c>
      <c r="J92" t="s">
        <v>150</v>
      </c>
      <c r="K92" t="s">
        <v>138</v>
      </c>
      <c r="L92" t="s">
        <v>863</v>
      </c>
      <c r="M92" t="s">
        <v>1679</v>
      </c>
      <c r="N92" t="s">
        <v>460</v>
      </c>
      <c r="O92" t="s">
        <v>179</v>
      </c>
    </row>
    <row r="93" spans="1:15">
      <c r="A93">
        <v>6859</v>
      </c>
      <c r="B93" t="s">
        <v>539</v>
      </c>
      <c r="C93" s="125" t="s">
        <v>184</v>
      </c>
      <c r="D93" t="s">
        <v>540</v>
      </c>
      <c r="E93" t="s">
        <v>655</v>
      </c>
      <c r="F93" t="s">
        <v>138</v>
      </c>
      <c r="G93" t="s">
        <v>138</v>
      </c>
      <c r="H93" t="s">
        <v>542</v>
      </c>
      <c r="I93" t="s">
        <v>138</v>
      </c>
      <c r="J93" t="s">
        <v>138</v>
      </c>
      <c r="K93" t="s">
        <v>150</v>
      </c>
      <c r="L93" t="s">
        <v>863</v>
      </c>
      <c r="N93" t="s">
        <v>460</v>
      </c>
      <c r="O93" t="s">
        <v>179</v>
      </c>
    </row>
    <row r="94" spans="1:15">
      <c r="A94">
        <v>7558</v>
      </c>
      <c r="B94" t="s">
        <v>544</v>
      </c>
      <c r="C94" s="125" t="s">
        <v>184</v>
      </c>
      <c r="D94" t="s">
        <v>545</v>
      </c>
      <c r="E94" t="s">
        <v>814</v>
      </c>
      <c r="F94" t="s">
        <v>138</v>
      </c>
      <c r="G94" t="s">
        <v>138</v>
      </c>
      <c r="H94" t="s">
        <v>548</v>
      </c>
      <c r="I94" t="s">
        <v>138</v>
      </c>
      <c r="J94" t="s">
        <v>138</v>
      </c>
      <c r="K94" t="s">
        <v>150</v>
      </c>
      <c r="L94" t="s">
        <v>863</v>
      </c>
      <c r="N94" t="s">
        <v>460</v>
      </c>
      <c r="O94" t="s">
        <v>179</v>
      </c>
    </row>
    <row r="95" spans="1:15">
      <c r="A95">
        <v>7625</v>
      </c>
      <c r="B95" t="s">
        <v>1680</v>
      </c>
      <c r="C95" s="125" t="s">
        <v>309</v>
      </c>
      <c r="D95" t="s">
        <v>1681</v>
      </c>
      <c r="E95" t="s">
        <v>906</v>
      </c>
      <c r="F95" t="s">
        <v>150</v>
      </c>
      <c r="G95" t="s">
        <v>150</v>
      </c>
      <c r="H95" t="s">
        <v>406</v>
      </c>
      <c r="I95" t="s">
        <v>150</v>
      </c>
      <c r="J95" t="s">
        <v>138</v>
      </c>
      <c r="K95" t="s">
        <v>150</v>
      </c>
      <c r="L95" t="s">
        <v>863</v>
      </c>
      <c r="M95" t="s">
        <v>1682</v>
      </c>
      <c r="N95" t="s">
        <v>1683</v>
      </c>
      <c r="O95" t="s">
        <v>179</v>
      </c>
    </row>
    <row r="96" spans="1:15">
      <c r="A96">
        <v>7725</v>
      </c>
      <c r="B96" t="s">
        <v>1684</v>
      </c>
      <c r="C96" s="125" t="s">
        <v>309</v>
      </c>
      <c r="D96" t="s">
        <v>1685</v>
      </c>
      <c r="E96" t="s">
        <v>906</v>
      </c>
      <c r="F96" t="s">
        <v>138</v>
      </c>
      <c r="G96" t="s">
        <v>150</v>
      </c>
      <c r="H96" t="s">
        <v>372</v>
      </c>
      <c r="I96" t="s">
        <v>138</v>
      </c>
      <c r="J96" t="s">
        <v>138</v>
      </c>
      <c r="K96" t="s">
        <v>138</v>
      </c>
      <c r="L96" t="s">
        <v>863</v>
      </c>
      <c r="M96" t="s">
        <v>1686</v>
      </c>
      <c r="N96" t="s">
        <v>1687</v>
      </c>
      <c r="O96" t="s">
        <v>179</v>
      </c>
    </row>
    <row r="97" spans="1:15">
      <c r="A97">
        <v>7814</v>
      </c>
      <c r="B97" t="s">
        <v>550</v>
      </c>
      <c r="C97" s="125" t="s">
        <v>184</v>
      </c>
      <c r="D97" t="s">
        <v>551</v>
      </c>
      <c r="E97" t="s">
        <v>906</v>
      </c>
      <c r="F97" t="s">
        <v>150</v>
      </c>
      <c r="H97" t="s">
        <v>552</v>
      </c>
      <c r="I97" t="s">
        <v>138</v>
      </c>
      <c r="J97" t="s">
        <v>138</v>
      </c>
      <c r="K97" t="s">
        <v>150</v>
      </c>
      <c r="L97" t="s">
        <v>863</v>
      </c>
      <c r="M97" t="s">
        <v>1177</v>
      </c>
      <c r="N97" t="s">
        <v>474</v>
      </c>
      <c r="O97" t="s">
        <v>179</v>
      </c>
    </row>
    <row r="98" spans="1:15">
      <c r="A98" t="s">
        <v>554</v>
      </c>
      <c r="B98" t="s">
        <v>555</v>
      </c>
      <c r="C98" s="125" t="s">
        <v>184</v>
      </c>
      <c r="D98" t="s">
        <v>556</v>
      </c>
      <c r="E98" t="s">
        <v>906</v>
      </c>
      <c r="F98" t="s">
        <v>150</v>
      </c>
      <c r="G98" t="s">
        <v>150</v>
      </c>
      <c r="H98" t="s">
        <v>216</v>
      </c>
      <c r="I98" t="s">
        <v>138</v>
      </c>
      <c r="J98" t="s">
        <v>138</v>
      </c>
      <c r="K98" t="s">
        <v>150</v>
      </c>
      <c r="L98" t="s">
        <v>863</v>
      </c>
      <c r="M98" t="s">
        <v>1182</v>
      </c>
      <c r="N98" t="s">
        <v>474</v>
      </c>
      <c r="O98" t="s">
        <v>179</v>
      </c>
    </row>
    <row r="99" spans="1:15">
      <c r="A99" t="s">
        <v>559</v>
      </c>
      <c r="B99" t="s">
        <v>560</v>
      </c>
      <c r="C99" s="125" t="s">
        <v>184</v>
      </c>
      <c r="D99" t="s">
        <v>561</v>
      </c>
      <c r="E99" t="s">
        <v>814</v>
      </c>
      <c r="F99" t="s">
        <v>150</v>
      </c>
      <c r="G99" t="s">
        <v>150</v>
      </c>
      <c r="H99" t="s">
        <v>216</v>
      </c>
      <c r="I99" t="s">
        <v>138</v>
      </c>
      <c r="J99" t="s">
        <v>150</v>
      </c>
      <c r="K99" t="s">
        <v>150</v>
      </c>
      <c r="L99" t="s">
        <v>863</v>
      </c>
      <c r="M99" t="s">
        <v>1189</v>
      </c>
      <c r="N99" t="s">
        <v>1548</v>
      </c>
      <c r="O99" t="s">
        <v>179</v>
      </c>
    </row>
    <row r="100" spans="1:15">
      <c r="A100" t="s">
        <v>1688</v>
      </c>
      <c r="B100" t="s">
        <v>1689</v>
      </c>
      <c r="C100" s="125" t="s">
        <v>184</v>
      </c>
      <c r="D100" t="s">
        <v>1690</v>
      </c>
      <c r="E100" t="s">
        <v>920</v>
      </c>
      <c r="F100" t="s">
        <v>150</v>
      </c>
      <c r="G100" t="s">
        <v>150</v>
      </c>
      <c r="H100" t="s">
        <v>216</v>
      </c>
      <c r="I100" t="s">
        <v>138</v>
      </c>
      <c r="J100" t="s">
        <v>150</v>
      </c>
      <c r="K100" t="s">
        <v>150</v>
      </c>
      <c r="L100" t="s">
        <v>863</v>
      </c>
      <c r="M100" t="s">
        <v>1691</v>
      </c>
      <c r="N100" t="s">
        <v>474</v>
      </c>
      <c r="O100" t="s">
        <v>179</v>
      </c>
    </row>
    <row r="101" spans="1:15">
      <c r="A101" t="s">
        <v>563</v>
      </c>
      <c r="B101" t="s">
        <v>564</v>
      </c>
      <c r="C101" s="125" t="s">
        <v>184</v>
      </c>
      <c r="D101" t="s">
        <v>565</v>
      </c>
      <c r="E101" t="s">
        <v>920</v>
      </c>
      <c r="F101" t="s">
        <v>150</v>
      </c>
      <c r="G101" t="s">
        <v>216</v>
      </c>
      <c r="H101" t="s">
        <v>216</v>
      </c>
      <c r="I101" t="s">
        <v>138</v>
      </c>
      <c r="J101" t="s">
        <v>150</v>
      </c>
      <c r="K101" t="s">
        <v>150</v>
      </c>
      <c r="L101" t="s">
        <v>863</v>
      </c>
      <c r="M101" t="s">
        <v>1193</v>
      </c>
      <c r="N101" t="s">
        <v>474</v>
      </c>
      <c r="O101" t="s">
        <v>179</v>
      </c>
    </row>
    <row r="102" spans="1:15">
      <c r="A102" t="s">
        <v>567</v>
      </c>
      <c r="B102" t="s">
        <v>568</v>
      </c>
      <c r="C102" s="125" t="s">
        <v>309</v>
      </c>
      <c r="D102" t="s">
        <v>569</v>
      </c>
      <c r="E102" t="s">
        <v>920</v>
      </c>
      <c r="F102" t="s">
        <v>138</v>
      </c>
      <c r="G102" t="s">
        <v>150</v>
      </c>
      <c r="H102" t="s">
        <v>372</v>
      </c>
      <c r="I102" t="s">
        <v>138</v>
      </c>
      <c r="J102" t="s">
        <v>150</v>
      </c>
      <c r="K102" t="s">
        <v>138</v>
      </c>
      <c r="L102" t="s">
        <v>863</v>
      </c>
      <c r="M102" t="s">
        <v>1196</v>
      </c>
      <c r="N102" t="s">
        <v>474</v>
      </c>
      <c r="O102" t="s">
        <v>179</v>
      </c>
    </row>
    <row r="103" spans="1:15">
      <c r="A103" t="s">
        <v>571</v>
      </c>
      <c r="B103" t="s">
        <v>572</v>
      </c>
      <c r="C103" s="125" t="s">
        <v>184</v>
      </c>
      <c r="D103" t="s">
        <v>573</v>
      </c>
      <c r="E103" t="s">
        <v>920</v>
      </c>
      <c r="F103" t="s">
        <v>150</v>
      </c>
      <c r="G103" t="s">
        <v>150</v>
      </c>
      <c r="H103" t="s">
        <v>216</v>
      </c>
      <c r="I103" t="s">
        <v>138</v>
      </c>
      <c r="J103" t="s">
        <v>150</v>
      </c>
      <c r="K103" t="s">
        <v>150</v>
      </c>
      <c r="L103" t="s">
        <v>863</v>
      </c>
      <c r="M103" t="s">
        <v>372</v>
      </c>
      <c r="N103" t="s">
        <v>474</v>
      </c>
      <c r="O103" t="s">
        <v>179</v>
      </c>
    </row>
    <row r="104" spans="1:15">
      <c r="A104" t="s">
        <v>575</v>
      </c>
      <c r="B104" t="s">
        <v>576</v>
      </c>
      <c r="C104" s="125" t="s">
        <v>184</v>
      </c>
      <c r="D104" t="s">
        <v>577</v>
      </c>
      <c r="E104" t="s">
        <v>920</v>
      </c>
      <c r="F104" t="s">
        <v>150</v>
      </c>
      <c r="G104" t="s">
        <v>216</v>
      </c>
      <c r="H104" t="s">
        <v>216</v>
      </c>
      <c r="I104" t="s">
        <v>138</v>
      </c>
      <c r="J104" t="s">
        <v>1201</v>
      </c>
      <c r="K104" t="s">
        <v>150</v>
      </c>
      <c r="L104" t="s">
        <v>863</v>
      </c>
      <c r="M104" t="s">
        <v>1202</v>
      </c>
      <c r="N104" t="s">
        <v>474</v>
      </c>
      <c r="O104" t="s">
        <v>179</v>
      </c>
    </row>
    <row r="105" spans="1:15">
      <c r="A105" t="s">
        <v>579</v>
      </c>
      <c r="B105" t="s">
        <v>580</v>
      </c>
      <c r="C105" s="125" t="s">
        <v>309</v>
      </c>
      <c r="D105" t="s">
        <v>581</v>
      </c>
      <c r="E105" t="s">
        <v>814</v>
      </c>
      <c r="F105" t="s">
        <v>150</v>
      </c>
      <c r="G105" t="s">
        <v>150</v>
      </c>
      <c r="H105" t="s">
        <v>216</v>
      </c>
      <c r="I105" t="s">
        <v>138</v>
      </c>
      <c r="J105" t="s">
        <v>150</v>
      </c>
      <c r="K105" t="s">
        <v>138</v>
      </c>
      <c r="L105" t="s">
        <v>863</v>
      </c>
      <c r="M105" t="s">
        <v>1564</v>
      </c>
      <c r="N105" t="s">
        <v>474</v>
      </c>
      <c r="O105" t="s">
        <v>179</v>
      </c>
    </row>
    <row r="106" spans="1:15">
      <c r="A106" t="s">
        <v>583</v>
      </c>
      <c r="B106" t="s">
        <v>584</v>
      </c>
      <c r="C106" s="125" t="s">
        <v>184</v>
      </c>
      <c r="D106" t="s">
        <v>585</v>
      </c>
      <c r="E106" t="s">
        <v>920</v>
      </c>
      <c r="F106" t="s">
        <v>150</v>
      </c>
      <c r="G106" t="s">
        <v>150</v>
      </c>
      <c r="H106" t="s">
        <v>216</v>
      </c>
      <c r="I106" t="s">
        <v>138</v>
      </c>
      <c r="J106" t="s">
        <v>150</v>
      </c>
      <c r="K106" t="s">
        <v>150</v>
      </c>
      <c r="L106" t="s">
        <v>863</v>
      </c>
      <c r="M106" t="s">
        <v>1206</v>
      </c>
      <c r="N106" t="s">
        <v>474</v>
      </c>
      <c r="O106" t="s">
        <v>179</v>
      </c>
    </row>
    <row r="107" spans="1:15">
      <c r="A107" t="s">
        <v>1692</v>
      </c>
      <c r="B107" t="s">
        <v>1693</v>
      </c>
      <c r="C107" s="125" t="s">
        <v>1694</v>
      </c>
      <c r="D107" t="s">
        <v>1695</v>
      </c>
      <c r="E107" t="s">
        <v>655</v>
      </c>
      <c r="F107" t="s">
        <v>138</v>
      </c>
      <c r="G107" t="s">
        <v>138</v>
      </c>
      <c r="H107" t="s">
        <v>215</v>
      </c>
      <c r="I107" t="s">
        <v>215</v>
      </c>
      <c r="J107" t="s">
        <v>215</v>
      </c>
      <c r="K107" t="s">
        <v>215</v>
      </c>
      <c r="L107" t="s">
        <v>215</v>
      </c>
      <c r="M107" t="s">
        <v>215</v>
      </c>
      <c r="N107" t="s">
        <v>215</v>
      </c>
      <c r="O107" t="s">
        <v>132</v>
      </c>
    </row>
    <row r="108" spans="1:15">
      <c r="A108" t="s">
        <v>587</v>
      </c>
      <c r="B108" t="s">
        <v>588</v>
      </c>
      <c r="C108" s="125" t="s">
        <v>184</v>
      </c>
      <c r="D108" t="s">
        <v>589</v>
      </c>
      <c r="E108" t="s">
        <v>655</v>
      </c>
      <c r="F108" t="s">
        <v>138</v>
      </c>
      <c r="G108" t="s">
        <v>138</v>
      </c>
      <c r="H108" t="s">
        <v>215</v>
      </c>
      <c r="I108" t="s">
        <v>138</v>
      </c>
      <c r="J108" t="s">
        <v>138</v>
      </c>
      <c r="K108" t="s">
        <v>138</v>
      </c>
      <c r="L108" t="s">
        <v>668</v>
      </c>
      <c r="M108" t="s">
        <v>219</v>
      </c>
      <c r="N108" t="s">
        <v>1574</v>
      </c>
      <c r="O108" t="s">
        <v>132</v>
      </c>
    </row>
    <row r="109" spans="1:15">
      <c r="A109" t="s">
        <v>591</v>
      </c>
      <c r="B109" t="s">
        <v>592</v>
      </c>
      <c r="C109" s="125" t="s">
        <v>276</v>
      </c>
      <c r="D109" t="s">
        <v>593</v>
      </c>
      <c r="E109" t="s">
        <v>655</v>
      </c>
      <c r="F109" t="s">
        <v>138</v>
      </c>
      <c r="G109" t="s">
        <v>138</v>
      </c>
      <c r="H109" t="s">
        <v>215</v>
      </c>
      <c r="I109" t="s">
        <v>150</v>
      </c>
      <c r="J109" t="s">
        <v>150</v>
      </c>
      <c r="K109" t="s">
        <v>150</v>
      </c>
      <c r="L109" t="s">
        <v>668</v>
      </c>
      <c r="M109" t="s">
        <v>178</v>
      </c>
      <c r="N109" t="s">
        <v>143</v>
      </c>
      <c r="O109" t="s">
        <v>132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1:AC27"/>
  <sheetViews>
    <sheetView topLeftCell="Y1" zoomScale="80" zoomScaleNormal="80" workbookViewId="0">
      <selection activeCell="AD2" sqref="AD2"/>
    </sheetView>
  </sheetViews>
  <sheetFormatPr defaultColWidth="23.42578125" defaultRowHeight="19.5" customHeight="1"/>
  <cols>
    <col min="1" max="1" width="11.42578125" style="8" customWidth="1"/>
    <col min="2" max="2" width="27" style="8" customWidth="1"/>
    <col min="3" max="16384" width="23.42578125" style="8"/>
  </cols>
  <sheetData>
    <row r="1" spans="2:29" ht="19.5" customHeight="1" thickBot="1"/>
    <row r="2" spans="2:29" ht="19.5" customHeight="1" thickBot="1">
      <c r="B2" s="9" t="s">
        <v>1696</v>
      </c>
      <c r="D2" s="10" t="s">
        <v>1697</v>
      </c>
      <c r="F2" s="11" t="s">
        <v>1698</v>
      </c>
      <c r="G2" s="11"/>
      <c r="H2" s="11" t="s">
        <v>1699</v>
      </c>
      <c r="I2" s="11" t="s">
        <v>1700</v>
      </c>
      <c r="J2" s="11" t="s">
        <v>1701</v>
      </c>
      <c r="K2" s="12" t="s">
        <v>1702</v>
      </c>
      <c r="L2" s="11" t="s">
        <v>1703</v>
      </c>
      <c r="M2" s="12" t="s">
        <v>1704</v>
      </c>
      <c r="N2" s="12" t="s">
        <v>1705</v>
      </c>
      <c r="O2" s="12" t="s">
        <v>1706</v>
      </c>
      <c r="P2" s="12" t="s">
        <v>1707</v>
      </c>
      <c r="Q2" s="11" t="s">
        <v>22</v>
      </c>
      <c r="R2" s="11" t="s">
        <v>1708</v>
      </c>
      <c r="S2" s="11" t="s">
        <v>1709</v>
      </c>
      <c r="T2" s="11" t="s">
        <v>1700</v>
      </c>
      <c r="U2" s="11" t="s">
        <v>1710</v>
      </c>
      <c r="V2" s="11"/>
      <c r="W2" s="11" t="s">
        <v>55</v>
      </c>
      <c r="X2" s="11"/>
      <c r="Y2" s="11"/>
      <c r="Z2" s="11" t="s">
        <v>1711</v>
      </c>
      <c r="AA2" s="11" t="s">
        <v>1712</v>
      </c>
      <c r="AB2" s="11" t="s">
        <v>1700</v>
      </c>
      <c r="AC2" s="11" t="s">
        <v>1713</v>
      </c>
    </row>
    <row r="3" spans="2:29" ht="19.5" customHeight="1">
      <c r="B3" s="13" t="s">
        <v>1714</v>
      </c>
      <c r="D3" s="14" t="s">
        <v>1715</v>
      </c>
      <c r="F3" s="15" t="s">
        <v>1111</v>
      </c>
      <c r="G3" s="15" t="s">
        <v>138</v>
      </c>
      <c r="H3" s="15" t="s">
        <v>1716</v>
      </c>
      <c r="I3" s="16">
        <v>1</v>
      </c>
      <c r="J3" s="15" t="s">
        <v>148</v>
      </c>
      <c r="K3" s="15" t="s">
        <v>1717</v>
      </c>
      <c r="L3" s="15" t="s">
        <v>165</v>
      </c>
      <c r="M3" s="17" t="s">
        <v>1718</v>
      </c>
      <c r="N3" s="15" t="s">
        <v>169</v>
      </c>
      <c r="O3" s="15" t="s">
        <v>1719</v>
      </c>
      <c r="P3" s="15" t="s">
        <v>1720</v>
      </c>
      <c r="Q3" s="15" t="s">
        <v>1721</v>
      </c>
      <c r="R3" s="16">
        <v>1</v>
      </c>
      <c r="S3" s="15" t="s">
        <v>1722</v>
      </c>
      <c r="T3" s="15">
        <v>1</v>
      </c>
      <c r="U3" s="15" t="s">
        <v>160</v>
      </c>
      <c r="V3" s="15"/>
      <c r="W3" s="15" t="s">
        <v>199</v>
      </c>
      <c r="X3" s="15"/>
      <c r="Y3" s="15" t="s">
        <v>138</v>
      </c>
      <c r="Z3" s="15" t="s">
        <v>796</v>
      </c>
      <c r="AA3" s="15" t="s">
        <v>147</v>
      </c>
      <c r="AB3" s="15" t="s">
        <v>142</v>
      </c>
      <c r="AC3" s="15" t="s">
        <v>156</v>
      </c>
    </row>
    <row r="4" spans="2:29" ht="19.5" customHeight="1">
      <c r="B4" s="13" t="s">
        <v>1723</v>
      </c>
      <c r="D4" s="18" t="s">
        <v>1724</v>
      </c>
      <c r="F4" s="15" t="s">
        <v>772</v>
      </c>
      <c r="G4" s="15" t="s">
        <v>150</v>
      </c>
      <c r="H4" s="15" t="s">
        <v>1725</v>
      </c>
      <c r="I4" s="16">
        <v>2</v>
      </c>
      <c r="J4" s="15" t="s">
        <v>662</v>
      </c>
      <c r="K4" s="15" t="s">
        <v>848</v>
      </c>
      <c r="L4" s="15" t="s">
        <v>1726</v>
      </c>
      <c r="M4" s="15" t="s">
        <v>168</v>
      </c>
      <c r="N4" s="15" t="s">
        <v>838</v>
      </c>
      <c r="O4" s="15" t="s">
        <v>1727</v>
      </c>
      <c r="P4" s="15" t="s">
        <v>1728</v>
      </c>
      <c r="Q4" s="15" t="s">
        <v>1729</v>
      </c>
      <c r="R4" s="16">
        <v>2</v>
      </c>
      <c r="S4" s="15" t="s">
        <v>1730</v>
      </c>
      <c r="T4" s="15">
        <v>2</v>
      </c>
      <c r="U4" s="15" t="s">
        <v>200</v>
      </c>
      <c r="V4" s="15"/>
      <c r="W4" s="15" t="s">
        <v>159</v>
      </c>
      <c r="X4" s="15"/>
      <c r="Y4" s="15" t="s">
        <v>150</v>
      </c>
      <c r="Z4" s="15" t="s">
        <v>200</v>
      </c>
      <c r="AA4" s="15" t="s">
        <v>1731</v>
      </c>
      <c r="AB4" s="15" t="s">
        <v>187</v>
      </c>
      <c r="AC4" s="15" t="s">
        <v>196</v>
      </c>
    </row>
    <row r="5" spans="2:29" ht="19.5" customHeight="1">
      <c r="B5" s="13"/>
      <c r="D5" s="18" t="s">
        <v>1732</v>
      </c>
      <c r="F5" s="15" t="s">
        <v>182</v>
      </c>
      <c r="G5" s="15" t="s">
        <v>1733</v>
      </c>
      <c r="H5" s="15" t="s">
        <v>1734</v>
      </c>
      <c r="I5" s="16">
        <v>3</v>
      </c>
      <c r="J5" s="15" t="s">
        <v>915</v>
      </c>
      <c r="K5" s="15" t="s">
        <v>1594</v>
      </c>
      <c r="L5" s="15" t="s">
        <v>1735</v>
      </c>
      <c r="M5" s="15" t="s">
        <v>676</v>
      </c>
      <c r="N5" s="15" t="s">
        <v>1736</v>
      </c>
      <c r="O5" s="15" t="s">
        <v>1737</v>
      </c>
      <c r="P5" s="15" t="s">
        <v>1738</v>
      </c>
      <c r="Q5" s="15" t="s">
        <v>1042</v>
      </c>
      <c r="R5" s="16">
        <v>3</v>
      </c>
      <c r="S5" s="15" t="s">
        <v>1739</v>
      </c>
      <c r="T5" s="15">
        <v>3</v>
      </c>
      <c r="U5" s="15" t="s">
        <v>1740</v>
      </c>
      <c r="V5" s="15"/>
      <c r="W5" s="15" t="s">
        <v>886</v>
      </c>
      <c r="X5" s="15"/>
      <c r="Y5" s="15" t="s">
        <v>1741</v>
      </c>
      <c r="Z5" s="15" t="s">
        <v>1740</v>
      </c>
      <c r="AA5" s="15" t="s">
        <v>1035</v>
      </c>
      <c r="AB5" s="15" t="s">
        <v>188</v>
      </c>
      <c r="AC5" s="15" t="s">
        <v>902</v>
      </c>
    </row>
    <row r="6" spans="2:29" ht="19.5" customHeight="1">
      <c r="B6" s="13"/>
      <c r="D6" s="18" t="s">
        <v>1742</v>
      </c>
      <c r="F6" s="19"/>
      <c r="G6" s="19"/>
      <c r="H6" s="15" t="s">
        <v>1743</v>
      </c>
      <c r="I6" s="16">
        <v>4</v>
      </c>
      <c r="J6" s="15" t="s">
        <v>823</v>
      </c>
      <c r="K6" s="20"/>
      <c r="L6" s="15" t="s">
        <v>675</v>
      </c>
      <c r="M6" s="15" t="s">
        <v>203</v>
      </c>
      <c r="N6" s="15" t="s">
        <v>204</v>
      </c>
      <c r="O6" s="15" t="s">
        <v>1744</v>
      </c>
      <c r="P6" s="15" t="s">
        <v>1745</v>
      </c>
      <c r="Q6" s="15" t="s">
        <v>1746</v>
      </c>
      <c r="R6" s="16">
        <v>4</v>
      </c>
      <c r="S6" s="15" t="s">
        <v>1747</v>
      </c>
      <c r="T6" s="15">
        <v>4</v>
      </c>
      <c r="U6" s="15"/>
      <c r="V6" s="15"/>
      <c r="W6" s="15" t="s">
        <v>1748</v>
      </c>
      <c r="X6" s="15"/>
      <c r="Y6" s="15"/>
      <c r="Z6" s="15"/>
      <c r="AA6" s="15" t="s">
        <v>190</v>
      </c>
      <c r="AB6" s="15" t="s">
        <v>663</v>
      </c>
      <c r="AC6" s="15" t="s">
        <v>939</v>
      </c>
    </row>
    <row r="7" spans="2:29" ht="19.5" customHeight="1" thickBot="1">
      <c r="B7" s="13"/>
      <c r="D7" s="21" t="s">
        <v>1733</v>
      </c>
      <c r="F7" s="19"/>
      <c r="G7" s="19"/>
      <c r="H7" s="15" t="s">
        <v>1749</v>
      </c>
      <c r="I7" s="25">
        <v>5</v>
      </c>
      <c r="J7" s="15" t="s">
        <v>1750</v>
      </c>
      <c r="K7" s="20"/>
      <c r="L7" s="15" t="s">
        <v>166</v>
      </c>
      <c r="M7" s="20"/>
      <c r="N7" s="20"/>
      <c r="O7" s="15" t="s">
        <v>1751</v>
      </c>
      <c r="P7" s="15" t="s">
        <v>1752</v>
      </c>
      <c r="Q7" s="20"/>
      <c r="R7" s="15" t="s">
        <v>1753</v>
      </c>
      <c r="S7" s="15" t="s">
        <v>1754</v>
      </c>
      <c r="T7" s="15">
        <v>5</v>
      </c>
      <c r="U7" s="15"/>
      <c r="V7" s="15"/>
      <c r="W7" s="15"/>
      <c r="X7" s="15"/>
      <c r="Y7" s="15"/>
      <c r="Z7" s="15"/>
      <c r="AA7" s="15" t="s">
        <v>661</v>
      </c>
      <c r="AB7" s="15" t="s">
        <v>764</v>
      </c>
      <c r="AC7" s="15" t="s">
        <v>945</v>
      </c>
    </row>
    <row r="8" spans="2:29" ht="19.5" customHeight="1">
      <c r="B8" s="13"/>
    </row>
    <row r="9" spans="2:29" ht="19.5" customHeight="1">
      <c r="B9" s="13"/>
    </row>
    <row r="10" spans="2:29" ht="19.5" customHeight="1">
      <c r="B10" s="13"/>
    </row>
    <row r="11" spans="2:29" ht="19.5" customHeight="1">
      <c r="B11" s="13"/>
    </row>
    <row r="12" spans="2:29" ht="19.5" customHeight="1">
      <c r="B12" s="13"/>
    </row>
    <row r="13" spans="2:29" ht="19.5" customHeight="1">
      <c r="B13" s="13"/>
    </row>
    <row r="14" spans="2:29" ht="19.5" customHeight="1">
      <c r="B14" s="13"/>
    </row>
    <row r="15" spans="2:29" ht="19.5" customHeight="1">
      <c r="B15" s="13"/>
    </row>
    <row r="16" spans="2:29" ht="19.5" customHeight="1">
      <c r="B16" s="13"/>
    </row>
    <row r="17" spans="2:2" ht="19.5" customHeight="1">
      <c r="B17" s="13"/>
    </row>
    <row r="18" spans="2:2" ht="19.5" customHeight="1">
      <c r="B18" s="13"/>
    </row>
    <row r="19" spans="2:2" ht="19.5" customHeight="1">
      <c r="B19" s="13"/>
    </row>
    <row r="20" spans="2:2" ht="19.5" customHeight="1">
      <c r="B20" s="22"/>
    </row>
    <row r="21" spans="2:2" ht="19.5" customHeight="1">
      <c r="B21" s="22"/>
    </row>
    <row r="22" spans="2:2" ht="19.5" customHeight="1">
      <c r="B22" s="22"/>
    </row>
    <row r="23" spans="2:2" ht="19.5" customHeight="1">
      <c r="B23" s="22"/>
    </row>
    <row r="24" spans="2:2" ht="19.5" customHeight="1" thickBot="1">
      <c r="B24" s="23"/>
    </row>
    <row r="25" spans="2:2" ht="19.5" customHeight="1">
      <c r="B25" s="24"/>
    </row>
    <row r="26" spans="2:2" ht="19.5" customHeight="1">
      <c r="B26" s="24"/>
    </row>
    <row r="27" spans="2:2" ht="19.5" customHeight="1">
      <c r="B27" s="24"/>
    </row>
  </sheetData>
  <dataValidations count="1">
    <dataValidation type="list" allowBlank="1" showInputMessage="1" showErrorMessage="1" sqref="B20:B27" xr:uid="{00000000-0002-0000-0300-000000000000}"/>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A57C-5A8B-49C8-9ABF-424281E2A152}">
  <dimension ref="A1:B4"/>
  <sheetViews>
    <sheetView topLeftCell="D1" workbookViewId="0">
      <selection activeCell="J15" sqref="J15"/>
    </sheetView>
  </sheetViews>
  <sheetFormatPr defaultRowHeight="15"/>
  <cols>
    <col min="5" max="5" width="41.42578125" bestFit="1" customWidth="1"/>
    <col min="6" max="6" width="25" bestFit="1" customWidth="1"/>
    <col min="7" max="7" width="20.5703125" bestFit="1" customWidth="1"/>
    <col min="8" max="8" width="9.5703125" bestFit="1" customWidth="1"/>
    <col min="9" max="9" width="8" bestFit="1" customWidth="1"/>
    <col min="10" max="10" width="19.5703125" bestFit="1" customWidth="1"/>
    <col min="11" max="11" width="11.5703125" bestFit="1" customWidth="1"/>
    <col min="12" max="12" width="20.5703125" bestFit="1" customWidth="1"/>
    <col min="13" max="13" width="11" bestFit="1" customWidth="1"/>
    <col min="14" max="14" width="23.42578125" bestFit="1" customWidth="1"/>
    <col min="15" max="16" width="11.5703125" bestFit="1" customWidth="1"/>
    <col min="17" max="17" width="9.42578125" bestFit="1" customWidth="1"/>
    <col min="18" max="18" width="4.5703125" bestFit="1" customWidth="1"/>
    <col min="19" max="19" width="15.5703125" bestFit="1" customWidth="1"/>
    <col min="20" max="20" width="9.5703125" bestFit="1" customWidth="1"/>
    <col min="21" max="21" width="14.5703125" bestFit="1" customWidth="1"/>
    <col min="22" max="22" width="12.5703125" bestFit="1" customWidth="1"/>
    <col min="23" max="23" width="9.5703125" bestFit="1" customWidth="1"/>
    <col min="24" max="24" width="21.5703125" bestFit="1" customWidth="1"/>
    <col min="25" max="25" width="6.5703125" bestFit="1" customWidth="1"/>
    <col min="26" max="26" width="10.5703125" bestFit="1" customWidth="1"/>
  </cols>
  <sheetData>
    <row r="1" spans="1:2">
      <c r="A1" s="198" t="s">
        <v>1755</v>
      </c>
      <c r="B1" t="s">
        <v>1756</v>
      </c>
    </row>
    <row r="2" spans="1:2">
      <c r="A2" s="199" t="s">
        <v>1757</v>
      </c>
      <c r="B2">
        <v>74</v>
      </c>
    </row>
    <row r="3" spans="1:2">
      <c r="A3" s="199" t="s">
        <v>1758</v>
      </c>
    </row>
    <row r="4" spans="1:2">
      <c r="A4" s="199" t="s">
        <v>1759</v>
      </c>
      <c r="B4">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8A91E4CFA9D1E418E068067F192A276" ma:contentTypeVersion="3" ma:contentTypeDescription="Create a new document." ma:contentTypeScope="" ma:versionID="5e2729d7ba3517d64e750170e7acb18d">
  <xsd:schema xmlns:xsd="http://www.w3.org/2001/XMLSchema" xmlns:xs="http://www.w3.org/2001/XMLSchema" xmlns:p="http://schemas.microsoft.com/office/2006/metadata/properties" xmlns:ns2="36a56681-3e1f-4ace-99f5-66712cc5f1a6" targetNamespace="http://schemas.microsoft.com/office/2006/metadata/properties" ma:root="true" ma:fieldsID="1e67dfe78f3843db2309b272acac87f0" ns2:_="">
    <xsd:import namespace="36a56681-3e1f-4ace-99f5-66712cc5f1a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a56681-3e1f-4ace-99f5-66712cc5f1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D0F9F2-830A-47E6-81CE-908BEE81A1B6}"/>
</file>

<file path=customXml/itemProps2.xml><?xml version="1.0" encoding="utf-8"?>
<ds:datastoreItem xmlns:ds="http://schemas.openxmlformats.org/officeDocument/2006/customXml" ds:itemID="{9747824C-2B37-40CF-AABA-E4482C22E270}"/>
</file>

<file path=customXml/itemProps3.xml><?xml version="1.0" encoding="utf-8"?>
<ds:datastoreItem xmlns:ds="http://schemas.openxmlformats.org/officeDocument/2006/customXml" ds:itemID="{B623E30A-0E06-4C8E-B307-1035C7D92962}"/>
</file>

<file path=docMetadata/LabelInfo.xml><?xml version="1.0" encoding="utf-8"?>
<clbl:labelList xmlns:clbl="http://schemas.microsoft.com/office/2020/mipLabelMetadata">
  <clbl:label id="{0ffa499d-8334-4b45-bbba-5ec17299202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Dhinakar Jacob</dc:creator>
  <cp:keywords/>
  <dc:description/>
  <cp:lastModifiedBy>West, Patty</cp:lastModifiedBy>
  <cp:revision/>
  <dcterms:created xsi:type="dcterms:W3CDTF">2011-05-25T05:28:24Z</dcterms:created>
  <dcterms:modified xsi:type="dcterms:W3CDTF">2026-03-06T18:59:18Z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0x01010038A91E4CFA9D1E418E068067F192A276</vt:lpwstr>
  </property>
  <property fmtid="{D5CDD505-2E9C-101B-9397-08002B2CF9AE}" pid="3" name="MediaServiceImageTags">
    <vt:lpwstr/>
  </property>
  <property fmtid="{D5CDD505-2E9C-101B-9397-08002B2CF9AE}" pid="4" name="Order">
    <vt:r8>200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MSIP_Label_92ea8e88-16c4-4b55-a945-7bd6248db4bf_Enabled">
    <vt:lpwstr>true</vt:lpwstr>
  </property>
  <property fmtid="{D5CDD505-2E9C-101B-9397-08002B2CF9AE}" pid="12" name="MSIP_Label_92ea8e88-16c4-4b55-a945-7bd6248db4bf_SetDate">
    <vt:lpwstr>2026-03-05T04:13:07Z</vt:lpwstr>
  </property>
  <property fmtid="{D5CDD505-2E9C-101B-9397-08002B2CF9AE}" pid="13" name="MSIP_Label_92ea8e88-16c4-4b55-a945-7bd6248db4bf_Method">
    <vt:lpwstr>Standard</vt:lpwstr>
  </property>
  <property fmtid="{D5CDD505-2E9C-101B-9397-08002B2CF9AE}" pid="14" name="MSIP_Label_92ea8e88-16c4-4b55-a945-7bd6248db4bf_Name">
    <vt:lpwstr>Internal</vt:lpwstr>
  </property>
  <property fmtid="{D5CDD505-2E9C-101B-9397-08002B2CF9AE}" pid="15" name="MSIP_Label_92ea8e88-16c4-4b55-a945-7bd6248db4bf_SiteId">
    <vt:lpwstr>22140e4c-d390-45c2-b297-a26c516dc461</vt:lpwstr>
  </property>
  <property fmtid="{D5CDD505-2E9C-101B-9397-08002B2CF9AE}" pid="16" name="MSIP_Label_92ea8e88-16c4-4b55-a945-7bd6248db4bf_ActionId">
    <vt:lpwstr>af802cf1-f0f9-44fc-97aa-bc2928dcff98</vt:lpwstr>
  </property>
  <property fmtid="{D5CDD505-2E9C-101B-9397-08002B2CF9AE}" pid="17" name="MSIP_Label_92ea8e88-16c4-4b55-a945-7bd6248db4bf_ContentBits">
    <vt:lpwstr>0</vt:lpwstr>
  </property>
  <property fmtid="{D5CDD505-2E9C-101B-9397-08002B2CF9AE}" pid="18" name="MSIP_Label_92ea8e88-16c4-4b55-a945-7bd6248db4bf_Tag">
    <vt:lpwstr>10, 3, 0, 2</vt:lpwstr>
  </property>
</Properties>
</file>